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Accounting_Audit_Risk_Project\Final_Outputs\"/>
    </mc:Choice>
  </mc:AlternateContent>
  <xr:revisionPtr revIDLastSave="0" documentId="8_{73DFB663-7E48-4B57-A6C9-76A4115E94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_Data_SEC_Banking" sheetId="1" r:id="rId1"/>
    <sheet name="Banking_Yearly_Summary" sheetId="2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7" i="2"/>
  <c r="I8" i="2"/>
  <c r="I9" i="2"/>
  <c r="I5" i="2"/>
  <c r="H6" i="2"/>
  <c r="H7" i="2"/>
  <c r="H8" i="2"/>
  <c r="H9" i="2"/>
  <c r="H5" i="2"/>
</calcChain>
</file>

<file path=xl/sharedStrings.xml><?xml version="1.0" encoding="utf-8"?>
<sst xmlns="http://schemas.openxmlformats.org/spreadsheetml/2006/main" count="461" uniqueCount="80">
  <si>
    <t>dataset_year</t>
  </si>
  <si>
    <t>fy</t>
  </si>
  <si>
    <t>cik</t>
  </si>
  <si>
    <t>name</t>
  </si>
  <si>
    <t>sic</t>
  </si>
  <si>
    <t>Assets</t>
  </si>
  <si>
    <t>Liabilities</t>
  </si>
  <si>
    <t>StockholdersEquity</t>
  </si>
  <si>
    <t>NetIncomeLoss</t>
  </si>
  <si>
    <t>InterestExpense</t>
  </si>
  <si>
    <t>ROA</t>
  </si>
  <si>
    <t>ROE</t>
  </si>
  <si>
    <t>LeverageRatio</t>
  </si>
  <si>
    <t>ROA_flag</t>
  </si>
  <si>
    <t>ROE_flag</t>
  </si>
  <si>
    <t>Leverage_flag</t>
  </si>
  <si>
    <t>2020</t>
  </si>
  <si>
    <t>CAPITOL FEDERAL FINANCIAL, INC.</t>
  </si>
  <si>
    <t>OK</t>
  </si>
  <si>
    <t>DEERE JOHN CAPITAL CORP</t>
  </si>
  <si>
    <t>ESSA BANCORP, INC.</t>
  </si>
  <si>
    <t>FIRST SAVINGS FINANCIAL GROUP, INC.</t>
  </si>
  <si>
    <t>GREAT WESTERN BANCORP, INC.</t>
  </si>
  <si>
    <t>MAGYAR BANCORP, INC.</t>
  </si>
  <si>
    <t>META FINANCIAL GROUP INC</t>
  </si>
  <si>
    <t>PRUDENTIAL BANCORP, INC.</t>
  </si>
  <si>
    <t>STERLING BANCORP, INC.</t>
  </si>
  <si>
    <t>TEB BANCORP, INC.</t>
  </si>
  <si>
    <t>TFS FINANCIAL CORP</t>
  </si>
  <si>
    <t>TIMBERLAND BANCORP INC</t>
  </si>
  <si>
    <t>WASHINGTON FEDERAL INC</t>
  </si>
  <si>
    <t>2021</t>
  </si>
  <si>
    <t>FAR PEAK ACQUISITION CORP</t>
  </si>
  <si>
    <t>Outlier</t>
  </si>
  <si>
    <t>FINANCIAL GRAVITY COMPANIES, INC.</t>
  </si>
  <si>
    <t>HANOVER BANCORP, INC. /NY</t>
  </si>
  <si>
    <t>2022</t>
  </si>
  <si>
    <t>BITMINE IMMERSION TECHNOLOGIES, INC.</t>
  </si>
  <si>
    <t>GRAYSCALE HORIZEN TRUST (ZEN)</t>
  </si>
  <si>
    <t>GRAYSCALE STELLAR LUMENS TRUST (XLM)</t>
  </si>
  <si>
    <t>MALVERN BANCORP, INC.</t>
  </si>
  <si>
    <t>METAVESCO, INC.</t>
  </si>
  <si>
    <t>PATHWARD FINANCIAL, INC.</t>
  </si>
  <si>
    <t>REPUBLIC FIRST BANCORP INC</t>
  </si>
  <si>
    <t>2023</t>
  </si>
  <si>
    <t>BLOOM HOLDCO LLC</t>
  </si>
  <si>
    <t>CLEANSPARK, INC.</t>
  </si>
  <si>
    <t>GOUVERNEUR BANCORP, INC./MD/</t>
  </si>
  <si>
    <t>HOME FEDERAL BANCORP, INC. OF LOUISIANA</t>
  </si>
  <si>
    <t>MERCER BANCORP, INC.</t>
  </si>
  <si>
    <t>OPENLOCKER HOLDINGS, INC.</t>
  </si>
  <si>
    <t>PINEAPPLE FINANCIAL INC.</t>
  </si>
  <si>
    <t>VWF BANCORP, INC.</t>
  </si>
  <si>
    <t>WAFD INC</t>
  </si>
  <si>
    <t>2024</t>
  </si>
  <si>
    <t>BLUE CHIP CAPITAL GROUP INC.</t>
  </si>
  <si>
    <t>KENTUCKY FIRST FEDERAL BANCORP</t>
  </si>
  <si>
    <t>PRIMIS FINANCIAL CORP.</t>
  </si>
  <si>
    <t>SR BANCORP, INC.</t>
  </si>
  <si>
    <t>T-REX ACQUISITION CORP.</t>
  </si>
  <si>
    <t>TOTALIGENT, INC.</t>
  </si>
  <si>
    <t>This dataset contains annual bank financial statements (2020–2024) extracted directly from SEC XBRL filings, including calculated profitability and leverage ratios.”</t>
  </si>
  <si>
    <t>TITLE: Create Bank × Year Pivot Table</t>
  </si>
  <si>
    <t>GOAL: Summarize bank financials by year to analyze trends in Assets, Net Income, ROA, ROE, and Leverage.</t>
  </si>
  <si>
    <t>Row Labels</t>
  </si>
  <si>
    <t>Grand Total</t>
  </si>
  <si>
    <t>Sum of Assets</t>
  </si>
  <si>
    <t>Sum of NetIncomeLoss</t>
  </si>
  <si>
    <t>Average of ROA</t>
  </si>
  <si>
    <t>Average of ROE</t>
  </si>
  <si>
    <t>Average of LeverageRatio</t>
  </si>
  <si>
    <t>Assets YoY %</t>
  </si>
  <si>
    <t>N/A</t>
  </si>
  <si>
    <t>Net Income Year-over-Year (YoY %)</t>
  </si>
  <si>
    <t>Asset growth peaked in 2023 (+35%) but reversed in 2024 (-11%), indicating balance-sheet contraction risk.</t>
  </si>
  <si>
    <t>Net income shows high volatility, with strong rebound years followed by sharp declines.</t>
  </si>
  <si>
    <t>ROA and ROE trends signal profitability pressure despite asset expansion.</t>
  </si>
  <si>
    <t>Leverage remained elevated, increasing sensitivity to earnings shocks.</t>
  </si>
  <si>
    <t>Executive Risk Insights (My Observation)</t>
  </si>
  <si>
    <t>Assets and NetIncome YoY%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</si>
</sst>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1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0" applyFont="1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6" fillId="2" borderId="0" xfId="0" applyFont="1" applyFill="1"/>
    <xf numFmtId="0" fontId="6" fillId="2" borderId="0" xfId="0" applyFont="1" applyFill="1" applyAlignment="1">
      <alignment vertical="center"/>
    </xf>
    <xf numFmtId="44" fontId="0" fillId="2" borderId="0" xfId="0" applyNumberFormat="1" applyFill="1"/>
    <xf numFmtId="44" fontId="5" fillId="0" borderId="1" xfId="0" applyNumberFormat="1" applyFont="1" applyBorder="1" applyAlignment="1">
      <alignment horizontal="center" vertical="top"/>
    </xf>
    <xf numFmtId="44" fontId="1" fillId="0" borderId="1" xfId="0" applyNumberFormat="1" applyFont="1" applyBorder="1" applyAlignment="1">
      <alignment horizontal="center" vertical="top"/>
    </xf>
    <xf numFmtId="9" fontId="0" fillId="0" borderId="0" xfId="1" applyFont="1"/>
    <xf numFmtId="171" fontId="0" fillId="0" borderId="0" xfId="1" applyNumberFormat="1" applyFont="1"/>
    <xf numFmtId="0" fontId="7" fillId="2" borderId="0" xfId="0" applyFont="1" applyFill="1" applyAlignment="1">
      <alignment vertical="center"/>
    </xf>
  </cellXfs>
  <cellStyles count="2">
    <cellStyle name="Normal" xfId="0" builtinId="0"/>
    <cellStyle name="Percent" xfId="1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wanth Jakkula" refreshedDate="46055.390654629628" createdVersion="8" refreshedVersion="8" minRefreshableVersion="3" recordCount="85" xr:uid="{2DFDCB36-BE79-42B6-AC07-E61A0E8403BA}">
  <cacheSource type="worksheet">
    <worksheetSource ref="A2:P87" sheet="Raw_Data_SEC_Banking"/>
  </cacheSource>
  <cacheFields count="16">
    <cacheField name="dataset_year" numFmtId="0">
      <sharedItems/>
    </cacheField>
    <cacheField name="fy" numFmtId="0">
      <sharedItems containsSemiMixedTypes="0" containsString="0" containsNumber="1" containsInteger="1" minValue="2019" maxValue="2024" count="6">
        <n v="2020"/>
        <n v="2019"/>
        <n v="2021"/>
        <n v="2022"/>
        <n v="2023"/>
        <n v="2024"/>
      </sharedItems>
    </cacheField>
    <cacheField name="cik" numFmtId="0">
      <sharedItems containsSemiMixedTypes="0" containsString="0" containsNumber="1" containsInteger="1" minValue="27673" maxValue="1978811"/>
    </cacheField>
    <cacheField name="name" numFmtId="0">
      <sharedItems/>
    </cacheField>
    <cacheField name="sic" numFmtId="0">
      <sharedItems containsSemiMixedTypes="0" containsString="0" containsNumber="1" containsInteger="1" minValue="6021" maxValue="6199"/>
    </cacheField>
    <cacheField name="Assets" numFmtId="0">
      <sharedItems containsSemiMixedTypes="0" containsString="0" containsNumber="1" containsInteger="1" minValue="31488" maxValue="157955600000" count="85">
        <n v="21451745000"/>
        <n v="81532300000"/>
        <n v="4074132000"/>
        <n v="8361891000"/>
        <n v="28675893000"/>
        <n v="1384325000"/>
        <n v="38429471000"/>
        <n v="3048215000"/>
        <n v="7251531000"/>
        <n v="617722802"/>
        <n v="32624592000"/>
        <n v="3172264000"/>
        <n v="39316093000"/>
        <n v="21648911000"/>
        <n v="84817000000"/>
        <n v="4148503000"/>
        <n v="5320663075"/>
        <n v="14198906"/>
        <n v="9794592000"/>
        <n v="28100796000"/>
        <n v="2577161000"/>
        <n v="1554207000"/>
        <n v="40297904000"/>
        <n v="2858894000"/>
        <n v="32118971000"/>
        <n v="3752860000"/>
        <n v="42588922000"/>
        <n v="8620234"/>
        <n v="21595150000"/>
        <n v="93057000000"/>
        <n v="4137718000"/>
        <n v="1206012262"/>
        <n v="11492391000"/>
        <n v="52631000"/>
        <n v="29995000"/>
        <n v="3670287000"/>
        <n v="1612237000"/>
        <n v="2592454000"/>
        <n v="483684"/>
        <n v="40793107000"/>
        <n v="11347717000"/>
        <n v="33442741000"/>
        <n v="4078281000"/>
        <n v="44831483000"/>
        <n v="16177006"/>
        <n v="25337000"/>
        <n v="21943135000"/>
        <n v="1214203000"/>
        <n v="157955600000"/>
        <n v="4587404000"/>
        <n v="12610226000"/>
        <n v="418904000"/>
        <n v="13362000"/>
        <n v="4398456000"/>
        <n v="1365537000"/>
        <n v="1705835000"/>
        <n v="311929364"/>
        <n v="819966"/>
        <n v="5847199"/>
        <n v="43386992000"/>
        <n v="11056024"/>
        <n v="36500319000"/>
        <n v="4152240000"/>
        <n v="354169676"/>
        <n v="47956244000"/>
        <n v="15486335"/>
        <n v="181681"/>
        <n v="21781777000"/>
        <n v="2724240000"/>
        <n v="122920800000"/>
        <n v="4931416000"/>
        <n v="14092219000"/>
        <n v="403145000"/>
        <n v="822779000"/>
        <n v="1859210000"/>
        <n v="31488"/>
        <n v="45288068000"/>
        <n v="8725530"/>
        <n v="15806362000"/>
        <n v="1871813000"/>
        <n v="504865"/>
        <n v="37820461000"/>
        <n v="4242139000"/>
        <n v="635851"/>
        <n v="56021517000"/>
      </sharedItems>
    </cacheField>
    <cacheField name="Liabilities" numFmtId="0">
      <sharedItems containsString="0" containsBlank="1" containsNumber="1" containsInteger="1" minValue="0" maxValue="141579200000"/>
    </cacheField>
    <cacheField name="StockholdersEquity" numFmtId="0">
      <sharedItems containsString="0" containsBlank="1" containsNumber="1" containsInteger="1" minValue="-1615652626" maxValue="25080826000"/>
    </cacheField>
    <cacheField name="NetIncomeLoss" numFmtId="0">
      <sharedItems containsString="0" containsBlank="1" containsNumber="1" containsInteger="1" minValue="-1422108000" maxValue="3333900000"/>
    </cacheField>
    <cacheField name="InterestExpense" numFmtId="0">
      <sharedItems containsString="0" containsBlank="1" containsNumber="1" containsInteger="1" minValue="11381" maxValue="5260800000"/>
    </cacheField>
    <cacheField name="ROA" numFmtId="0">
      <sharedItems containsString="0" containsBlank="1" containsNumber="1" minValue="-521.09552845528458" maxValue="8.2980055139771039E-2"/>
    </cacheField>
    <cacheField name="ROE" numFmtId="0">
      <sharedItems containsString="0" containsBlank="1" containsNumber="1" minValue="-85.925264919129944" maxValue="6.3744034032755286"/>
    </cacheField>
    <cacheField name="LeverageRatio" numFmtId="0">
      <sharedItems containsString="0" containsBlank="1" containsNumber="1" minValue="-8.9074283753881645" maxValue="21.475755571540041"/>
    </cacheField>
    <cacheField name="ROA_flag" numFmtId="0">
      <sharedItems/>
    </cacheField>
    <cacheField name="ROE_flag" numFmtId="0">
      <sharedItems/>
    </cacheField>
    <cacheField name="Leverage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2020"/>
    <x v="0"/>
    <n v="1490906"/>
    <s v="CAPITOL FEDERAL FINANCIAL, INC."/>
    <n v="6035"/>
    <x v="0"/>
    <n v="16209375000"/>
    <n v="13386689000"/>
    <n v="931913000"/>
    <n v="362791000"/>
    <n v="4.3442293389185822E-2"/>
    <n v="6.9614898799845129E-2"/>
    <n v="1.602468317595187"/>
    <s v="OK"/>
    <s v="OK"/>
    <s v="OK"/>
  </r>
  <r>
    <s v="2020"/>
    <x v="0"/>
    <n v="27673"/>
    <s v="DEERE JOHN CAPITAL CORP"/>
    <n v="6153"/>
    <x v="1"/>
    <n v="73795600000"/>
    <n v="8126700000"/>
    <n v="3267800000"/>
    <n v="4193700000"/>
    <n v="4.007982112610585E-2"/>
    <n v="0.40210663614997483"/>
    <n v="10.03264547725399"/>
    <s v="OK"/>
    <s v="OK"/>
    <s v="OK"/>
  </r>
  <r>
    <s v="2020"/>
    <x v="0"/>
    <n v="1382230"/>
    <s v="ESSA BANCORP, INC."/>
    <n v="6036"/>
    <x v="2"/>
    <n v="3312037000"/>
    <n v="1486421000"/>
    <n v="113450000"/>
    <n v="72848000"/>
    <n v="2.7846422256323559E-2"/>
    <n v="7.6324271521998138E-2"/>
    <n v="2.7409004582147318"/>
    <s v="OK"/>
    <s v="OK"/>
    <s v="OK"/>
  </r>
  <r>
    <s v="2020"/>
    <x v="0"/>
    <n v="1435508"/>
    <s v="FIRST SAVINGS FINANCIAL GROUP, INC."/>
    <n v="6035"/>
    <x v="3"/>
    <n v="2708382000"/>
    <n v="556650000"/>
    <n v="181299000"/>
    <n v="55562000"/>
    <n v="2.1681578963418682E-2"/>
    <n v="0.32569657774184863"/>
    <n v="15.021810832659661"/>
    <s v="OK"/>
    <s v="OK"/>
    <s v="OK"/>
  </r>
  <r>
    <s v="2020"/>
    <x v="0"/>
    <n v="1613665"/>
    <s v="GREAT WESTERN BANCORP, INC."/>
    <n v="6022"/>
    <x v="4"/>
    <n v="22549529000"/>
    <n v="16380084000"/>
    <n v="-1422108000"/>
    <n v="270356000"/>
    <n v="-4.9592457329925177E-2"/>
    <n v="-8.6819334992421282E-2"/>
    <n v="1.7506560405917331"/>
    <s v="OK"/>
    <s v="OK"/>
    <s v="OK"/>
  </r>
  <r>
    <s v="2020"/>
    <x v="0"/>
    <n v="1337068"/>
    <s v="MAGYAR BANCORP, INC."/>
    <n v="6035"/>
    <x v="5"/>
    <n v="1272824000"/>
    <m/>
    <m/>
    <n v="12223000"/>
    <m/>
    <m/>
    <m/>
    <s v="OK"/>
    <s v="OK"/>
    <s v="OK"/>
  </r>
  <r>
    <s v="2020"/>
    <x v="0"/>
    <n v="907471"/>
    <s v="META FINANCIAL GROUP INC"/>
    <n v="6021"/>
    <x v="6"/>
    <n v="10777039000"/>
    <n v="3492971000"/>
    <n v="760032000"/>
    <n v="262146000"/>
    <n v="1.9777321420843919E-2"/>
    <n v="0.21758898084181061"/>
    <n v="11.00194390391446"/>
    <s v="OK"/>
    <s v="OK"/>
    <s v="OK"/>
  </r>
  <r>
    <s v="2020"/>
    <x v="0"/>
    <n v="1578776"/>
    <s v="PRUDENTIAL BANCORP, INC."/>
    <n v="6036"/>
    <x v="7"/>
    <n v="2244059000"/>
    <n v="1335360000"/>
    <n v="104596000"/>
    <n v="97702000"/>
    <n v="3.431385253336789E-2"/>
    <n v="7.8327941528876108E-2"/>
    <n v="2.2826915588305781"/>
    <s v="OK"/>
    <s v="OK"/>
    <s v="OK"/>
  </r>
  <r>
    <s v="2020"/>
    <x v="1"/>
    <n v="1680379"/>
    <s v="STERLING BANCORP, INC."/>
    <n v="6035"/>
    <x v="8"/>
    <n v="5916189000"/>
    <n v="2874153000"/>
    <n v="392079000"/>
    <n v="121491000"/>
    <n v="5.4068444305071579E-2"/>
    <n v="0.1364154935384442"/>
    <n v="2.5230149543187159"/>
    <s v="OK"/>
    <s v="OK"/>
    <s v="OK"/>
  </r>
  <r>
    <s v="2020"/>
    <x v="0"/>
    <n v="1751700"/>
    <s v="TEB BANCORP, INC."/>
    <n v="6036"/>
    <x v="9"/>
    <n v="569803024"/>
    <n v="114152043"/>
    <n v="1385520"/>
    <n v="4895552"/>
    <n v="2.2429478003954269E-3"/>
    <n v="1.2137496303942631E-2"/>
    <n v="5.4114038239333144"/>
    <s v="OK"/>
    <s v="OK"/>
    <s v="OK"/>
  </r>
  <r>
    <s v="2020"/>
    <x v="0"/>
    <n v="1381668"/>
    <s v="TFS FINANCIAL CORP"/>
    <n v="6035"/>
    <x v="10"/>
    <n v="25887378000"/>
    <n v="16816933000"/>
    <n v="910437000"/>
    <n v="1024442000"/>
    <n v="2.790646393370988E-2"/>
    <n v="5.4138111866176793E-2"/>
    <n v="1.939984657131"/>
    <s v="OK"/>
    <s v="OK"/>
    <s v="OK"/>
  </r>
  <r>
    <s v="2020"/>
    <x v="0"/>
    <n v="1046050"/>
    <s v="TIMBERLAND BANCORP INC"/>
    <n v="6036"/>
    <x v="11"/>
    <n v="2454413000"/>
    <n v="1547263000"/>
    <n v="243319000"/>
    <n v="21310000"/>
    <n v="7.6702002103229749E-2"/>
    <n v="0.15725768663763051"/>
    <n v="2.0502422665054358"/>
    <s v="OK"/>
    <s v="OK"/>
    <s v="OK"/>
  </r>
  <r>
    <s v="2020"/>
    <x v="0"/>
    <n v="936528"/>
    <s v="WASHINGTON FEDERAL INC"/>
    <n v="6021"/>
    <x v="12"/>
    <n v="31221837000"/>
    <n v="20080741000"/>
    <n v="2146326000"/>
    <n v="819270000"/>
    <n v="5.459153838098816E-2"/>
    <n v="0.1068848007152724"/>
    <n v="1.957900507755167"/>
    <s v="OK"/>
    <s v="OK"/>
    <s v="OK"/>
  </r>
  <r>
    <s v="2021"/>
    <x v="2"/>
    <n v="1490906"/>
    <s v="CAPITOL FEDERAL FINANCIAL, INC."/>
    <n v="6035"/>
    <x v="13"/>
    <n v="16594647000"/>
    <n v="13033680000"/>
    <n v="704595000"/>
    <n v="322790000"/>
    <n v="3.2546440788638283E-2"/>
    <n v="5.4059559541127303E-2"/>
    <n v="1.660997584718974"/>
    <s v="OK"/>
    <s v="OK"/>
    <s v="OK"/>
  </r>
  <r>
    <s v="2021"/>
    <x v="2"/>
    <n v="27673"/>
    <s v="DEERE JOHN CAPITAL CORP"/>
    <n v="6153"/>
    <x v="14"/>
    <n v="76362200000"/>
    <n v="8371800000"/>
    <n v="1554800000"/>
    <n v="2182800000"/>
    <n v="1.8331230767416912E-2"/>
    <n v="0.18571872237750539"/>
    <n v="10.13127403903581"/>
    <s v="OK"/>
    <s v="OK"/>
    <s v="OK"/>
  </r>
  <r>
    <s v="2021"/>
    <x v="2"/>
    <n v="1382230"/>
    <s v="ESSA BANCORP, INC."/>
    <n v="6036"/>
    <x v="15"/>
    <n v="3361732000"/>
    <n v="1554599000"/>
    <n v="124322000"/>
    <n v="48425000"/>
    <n v="2.9967918547967789E-2"/>
    <n v="7.9970461836139095E-2"/>
    <n v="2.6685357445875111"/>
    <s v="OK"/>
    <s v="OK"/>
    <s v="OK"/>
  </r>
  <r>
    <s v="2021"/>
    <x v="2"/>
    <n v="1829426"/>
    <s v="FAR PEAK ACQUISITION CORP"/>
    <n v="6199"/>
    <x v="16"/>
    <n v="551283986"/>
    <n v="-597328752"/>
    <n v="110347424"/>
    <m/>
    <n v="2.0739412070364931E-2"/>
    <n v="-0.1847348275644364"/>
    <n v="-8.9074283753881645"/>
    <s v="OK"/>
    <s v="OK"/>
    <s v="Outlier"/>
  </r>
  <r>
    <s v="2021"/>
    <x v="2"/>
    <n v="1377167"/>
    <s v="FINANCIAL GRAVITY COMPANIES, INC."/>
    <n v="6199"/>
    <x v="17"/>
    <n v="4569298"/>
    <n v="21727040"/>
    <n v="-8214756"/>
    <n v="18955"/>
    <n v="-0.57854851634344229"/>
    <n v="-0.37808905400827719"/>
    <n v="0.65351313386453014"/>
    <s v="Outlier"/>
    <s v="OK"/>
    <s v="Outlier"/>
  </r>
  <r>
    <s v="2021"/>
    <x v="2"/>
    <n v="1435508"/>
    <s v="FIRST SAVINGS FINANCIAL GROUP, INC."/>
    <n v="6035"/>
    <x v="18"/>
    <n v="3147189000"/>
    <n v="675298000"/>
    <n v="237294000"/>
    <n v="59062000"/>
    <n v="2.4227042841600752E-2"/>
    <n v="0.35139153381173938"/>
    <n v="14.504103373621721"/>
    <s v="OK"/>
    <s v="OK"/>
    <s v="OK"/>
  </r>
  <r>
    <s v="2021"/>
    <x v="2"/>
    <n v="1613665"/>
    <s v="GREAT WESTERN BANCORP, INC."/>
    <n v="6022"/>
    <x v="19"/>
    <n v="23371972000"/>
    <n v="14308634000"/>
    <n v="-1240740000"/>
    <n v="219773000"/>
    <n v="-4.4153197653191027E-2"/>
    <n v="-8.6712679910605023E-2"/>
    <n v="1.963904870304181"/>
    <s v="OK"/>
    <s v="OK"/>
    <s v="OK"/>
  </r>
  <r>
    <s v="2021"/>
    <x v="2"/>
    <n v="1828588"/>
    <s v="HANOVER BANCORP, INC. /NY"/>
    <n v="6022"/>
    <x v="20"/>
    <n v="2176017000"/>
    <n v="746050000"/>
    <n v="47666000"/>
    <n v="22234000"/>
    <n v="1.8495546067940651E-2"/>
    <n v="6.3891160109912207E-2"/>
    <n v="3.4544078815092818"/>
    <s v="OK"/>
    <s v="OK"/>
    <s v="OK"/>
  </r>
  <r>
    <s v="2021"/>
    <x v="2"/>
    <n v="1337068"/>
    <s v="MAGYAR BANCORP, INC."/>
    <n v="6035"/>
    <x v="21"/>
    <n v="1373862000"/>
    <m/>
    <m/>
    <n v="8454000"/>
    <m/>
    <m/>
    <m/>
    <s v="OK"/>
    <s v="OK"/>
    <s v="OK"/>
  </r>
  <r>
    <s v="2021"/>
    <x v="2"/>
    <n v="907471"/>
    <s v="META FINANCIAL GROUP INC"/>
    <n v="6021"/>
    <x v="22"/>
    <n v="11251851000"/>
    <n v="3544618000"/>
    <n v="1030295000"/>
    <n v="219756000"/>
    <n v="2.5566962490158301E-2"/>
    <n v="0.29066460758253782"/>
    <n v="11.36875793103798"/>
    <s v="OK"/>
    <s v="OK"/>
    <s v="OK"/>
  </r>
  <r>
    <s v="2021"/>
    <x v="2"/>
    <n v="1578776"/>
    <s v="PRUDENTIAL BANCORP, INC."/>
    <n v="6036"/>
    <x v="23"/>
    <n v="2064248000"/>
    <n v="1314759000"/>
    <n v="107460000"/>
    <n v="107024000"/>
    <n v="3.7587962337883113E-2"/>
    <n v="8.1733610494394787E-2"/>
    <n v="2.1744623919668928"/>
    <s v="OK"/>
    <s v="OK"/>
    <s v="OK"/>
  </r>
  <r>
    <s v="2021"/>
    <x v="2"/>
    <n v="1381668"/>
    <s v="TFS FINANCIAL CORP"/>
    <n v="6035"/>
    <x v="24"/>
    <n v="25310705000"/>
    <n v="16805266000"/>
    <n v="733683000"/>
    <n v="589191000"/>
    <n v="2.2842668278507429E-2"/>
    <n v="4.3657922463113653E-2"/>
    <n v="1.9112444277882901"/>
    <s v="OK"/>
    <s v="OK"/>
    <s v="OK"/>
  </r>
  <r>
    <s v="2021"/>
    <x v="2"/>
    <n v="1046050"/>
    <s v="TIMBERLAND BANCORP INC"/>
    <n v="6036"/>
    <x v="25"/>
    <n v="2963629000"/>
    <n v="1775076000"/>
    <n v="279468000"/>
    <n v="20175000"/>
    <n v="7.446800573429331E-2"/>
    <n v="0.15744001946958891"/>
    <n v="2.1141968005876932"/>
    <s v="OK"/>
    <s v="OK"/>
    <s v="OK"/>
  </r>
  <r>
    <s v="2021"/>
    <x v="2"/>
    <n v="936528"/>
    <s v="WASHINGTON FEDERAL INC"/>
    <n v="6021"/>
    <x v="26"/>
    <n v="34308528000"/>
    <n v="20436507000"/>
    <n v="1701927000"/>
    <n v="428664000"/>
    <n v="3.9961729954094638E-2"/>
    <n v="8.3278761874521906E-2"/>
    <n v="2.083962880740823"/>
    <s v="OK"/>
    <s v="OK"/>
    <s v="OK"/>
  </r>
  <r>
    <s v="2022"/>
    <x v="3"/>
    <n v="1829311"/>
    <s v="BITMINE IMMERSION TECHNOLOGIES, INC."/>
    <n v="6199"/>
    <x v="27"/>
    <n v="855476"/>
    <n v="15429362"/>
    <n v="-4318944"/>
    <m/>
    <n v="-0.50102398612381061"/>
    <n v="-0.27991721239024658"/>
    <n v="0.55869024266849143"/>
    <s v="Outlier"/>
    <s v="OK"/>
    <s v="Outlier"/>
  </r>
  <r>
    <s v="2022"/>
    <x v="3"/>
    <n v="1490906"/>
    <s v="CAPITOL FEDERAL FINANCIAL, INC."/>
    <n v="6035"/>
    <x v="28"/>
    <n v="16917606000"/>
    <n v="12254286000"/>
    <n v="675225000"/>
    <n v="285769000"/>
    <n v="3.1267437364408207E-2"/>
    <n v="5.5101129515012143E-2"/>
    <n v="1.7622528150558909"/>
    <s v="OK"/>
    <s v="OK"/>
    <s v="OK"/>
  </r>
  <r>
    <s v="2022"/>
    <x v="3"/>
    <n v="27673"/>
    <s v="DEERE JOHN CAPITAL CORP"/>
    <n v="6153"/>
    <x v="29"/>
    <n v="82813500000"/>
    <n v="8864000000"/>
    <n v="1839900000"/>
    <n v="1699200000"/>
    <n v="1.9771752796673009E-2"/>
    <n v="0.20756994584837549"/>
    <n v="10.49830776173285"/>
    <s v="OK"/>
    <s v="OK"/>
    <s v="OK"/>
  </r>
  <r>
    <s v="2022"/>
    <x v="3"/>
    <n v="1382230"/>
    <s v="ESSA BANCORP, INC."/>
    <n v="6036"/>
    <x v="30"/>
    <n v="3309094000"/>
    <n v="1619003000"/>
    <n v="107580000"/>
    <n v="10012000"/>
    <n v="2.5999838558355109E-2"/>
    <n v="6.6448301825259126E-2"/>
    <n v="2.5557197855717382"/>
    <s v="OK"/>
    <s v="OK"/>
    <s v="OK"/>
  </r>
  <r>
    <s v="2022"/>
    <x v="3"/>
    <n v="1829426"/>
    <s v="FAR PEAK ACQUISITION CORP"/>
    <n v="6199"/>
    <x v="31"/>
    <n v="84622265"/>
    <n v="-162401298"/>
    <n v="100074964"/>
    <m/>
    <n v="8.2980055139771039E-2"/>
    <n v="-0.61622022257482201"/>
    <n v="-7.4261245251869843"/>
    <s v="OK"/>
    <s v="Outlier"/>
    <s v="Outlier"/>
  </r>
  <r>
    <s v="2022"/>
    <x v="3"/>
    <n v="1435508"/>
    <s v="FIRST SAVINGS FINANCIAL GROUP, INC."/>
    <n v="6035"/>
    <x v="32"/>
    <n v="3446056000"/>
    <n v="666000000"/>
    <n v="158730000"/>
    <n v="57942000"/>
    <n v="1.381174726825775E-2"/>
    <n v="0.23833333333333331"/>
    <n v="17.255842342342341"/>
    <s v="OK"/>
    <s v="OK"/>
    <s v="OK"/>
  </r>
  <r>
    <s v="2022"/>
    <x v="3"/>
    <n v="1748945"/>
    <s v="GRAYSCALE HORIZEN TRUST (ZEN)"/>
    <n v="6199"/>
    <x v="33"/>
    <n v="0"/>
    <m/>
    <m/>
    <m/>
    <m/>
    <m/>
    <m/>
    <s v="OK"/>
    <s v="OK"/>
    <s v="OK"/>
  </r>
  <r>
    <s v="2022"/>
    <x v="3"/>
    <n v="1761325"/>
    <s v="GRAYSCALE STELLAR LUMENS TRUST (XLM)"/>
    <n v="6199"/>
    <x v="34"/>
    <n v="0"/>
    <m/>
    <m/>
    <m/>
    <m/>
    <m/>
    <m/>
    <s v="OK"/>
    <s v="OK"/>
    <s v="OK"/>
  </r>
  <r>
    <s v="2022"/>
    <x v="3"/>
    <n v="1828588"/>
    <s v="HANOVER BANCORP, INC. /NY"/>
    <n v="6022"/>
    <x v="35"/>
    <n v="3080061000"/>
    <n v="1041217000"/>
    <n v="103221000"/>
    <n v="16834000"/>
    <n v="2.8123413782082982E-2"/>
    <n v="9.9134954577191889E-2"/>
    <n v="3.5249971907873192"/>
    <s v="OK"/>
    <s v="OK"/>
    <s v="OK"/>
  </r>
  <r>
    <s v="2022"/>
    <x v="3"/>
    <n v="1337068"/>
    <s v="MAGYAR BANCORP, INC."/>
    <n v="6035"/>
    <x v="36"/>
    <n v="1380998000"/>
    <m/>
    <n v="28078000"/>
    <n v="5425000"/>
    <n v="1.7415553668598351E-2"/>
    <m/>
    <m/>
    <s v="OK"/>
    <s v="OK"/>
    <s v="OK"/>
  </r>
  <r>
    <s v="2022"/>
    <x v="3"/>
    <n v="1550603"/>
    <s v="MALVERN BANCORP, INC."/>
    <n v="6035"/>
    <x v="37"/>
    <n v="2015228000"/>
    <n v="1147025000"/>
    <n v="20577000"/>
    <n v="18948000"/>
    <n v="7.937267160767366E-3"/>
    <n v="1.793945206076589E-2"/>
    <n v="2.2601547481528299"/>
    <s v="OK"/>
    <s v="OK"/>
    <s v="OK"/>
  </r>
  <r>
    <s v="2022"/>
    <x v="3"/>
    <n v="924095"/>
    <s v="METAVESCO, INC."/>
    <n v="6199"/>
    <x v="38"/>
    <m/>
    <n v="28688"/>
    <n v="-2465024"/>
    <n v="58453"/>
    <n v="-5.0963521638094296"/>
    <n v="-85.925264919129944"/>
    <n v="16.860150585610711"/>
    <s v="Outlier"/>
    <s v="Outlier"/>
    <s v="OK"/>
  </r>
  <r>
    <s v="2022"/>
    <x v="3"/>
    <n v="907471"/>
    <s v="PATHWARD FINANCIAL, INC."/>
    <n v="6021"/>
    <x v="39"/>
    <n v="12056013000"/>
    <n v="3111386000"/>
    <n v="1208441000"/>
    <n v="105141000"/>
    <n v="2.9623656761422951E-2"/>
    <n v="0.38839314697694211"/>
    <n v="13.110911664447929"/>
    <s v="OK"/>
    <s v="OK"/>
    <s v="OK"/>
  </r>
  <r>
    <s v="2022"/>
    <x v="2"/>
    <n v="834285"/>
    <s v="REPUBLIC FIRST BANCORP INC"/>
    <n v="6022"/>
    <x v="40"/>
    <n v="10083348000"/>
    <n v="3349565000"/>
    <n v="110419000"/>
    <n v="110475000"/>
    <n v="9.7305035012769537E-3"/>
    <n v="3.2965176075102291E-2"/>
    <n v="3.3878181196662851"/>
    <s v="OK"/>
    <s v="OK"/>
    <s v="OK"/>
  </r>
  <r>
    <s v="2022"/>
    <x v="3"/>
    <n v="1381668"/>
    <s v="TFS FINANCIAL CORP"/>
    <n v="6035"/>
    <x v="41"/>
    <n v="26289503000"/>
    <n v="17149549000"/>
    <n v="716667000"/>
    <n v="674944000"/>
    <n v="2.142967288476743E-2"/>
    <n v="4.1789262213251209E-2"/>
    <n v="1.950065334079631"/>
    <s v="OK"/>
    <s v="OK"/>
    <s v="OK"/>
  </r>
  <r>
    <s v="2022"/>
    <x v="3"/>
    <n v="1046050"/>
    <s v="TIMBERLAND BANCORP INC"/>
    <n v="6036"/>
    <x v="42"/>
    <n v="3227220000"/>
    <n v="1993251000"/>
    <n v="277539000"/>
    <n v="16257000"/>
    <n v="6.8052937009490028E-2"/>
    <n v="0.13923936323122379"/>
    <n v="2.046044878442304"/>
    <s v="OK"/>
    <s v="OK"/>
    <s v="OK"/>
  </r>
  <r>
    <s v="2022"/>
    <x v="3"/>
    <n v="936528"/>
    <s v="WASHINGTON FEDERAL INC"/>
    <n v="6021"/>
    <x v="43"/>
    <n v="36030835000"/>
    <n v="21251338000"/>
    <n v="1780149000"/>
    <n v="310028000"/>
    <n v="3.9707564436358263E-2"/>
    <n v="8.3766443317592518E-2"/>
    <n v="2.109584017721613"/>
    <s v="OK"/>
    <s v="OK"/>
    <s v="OK"/>
  </r>
  <r>
    <s v="2023"/>
    <x v="4"/>
    <n v="1829311"/>
    <s v="BITMINE IMMERSION TECHNOLOGIES, INC."/>
    <n v="6199"/>
    <x v="44"/>
    <n v="2515435"/>
    <n v="28044243"/>
    <n v="-8940068"/>
    <m/>
    <n v="-0.55264045769656012"/>
    <n v="-0.31878442930336898"/>
    <n v="0.57683874726089057"/>
    <s v="Outlier"/>
    <s v="OK"/>
    <s v="Outlier"/>
  </r>
  <r>
    <s v="2023"/>
    <x v="4"/>
    <n v="1975931"/>
    <s v="BLOOM HOLDCO LLC"/>
    <n v="6199"/>
    <x v="45"/>
    <n v="86269000"/>
    <n v="-171290000"/>
    <n v="-15596000"/>
    <m/>
    <n v="-0.61554248727157912"/>
    <n v="9.1050265631385366E-2"/>
    <n v="-0.14791873431023411"/>
    <s v="Outlier"/>
    <s v="OK"/>
    <s v="Outlier"/>
  </r>
  <r>
    <s v="2023"/>
    <x v="4"/>
    <n v="1490906"/>
    <s v="CAPITOL FEDERAL FINANCIAL, INC."/>
    <n v="6035"/>
    <x v="46"/>
    <n v="17662029000"/>
    <n v="11471347000"/>
    <n v="176628000"/>
    <n v="376643000"/>
    <n v="8.04935119799427E-3"/>
    <n v="1.539731994856402E-2"/>
    <n v="1.9128647228612301"/>
    <s v="OK"/>
    <s v="OK"/>
    <s v="OK"/>
  </r>
  <r>
    <s v="2023"/>
    <x v="4"/>
    <n v="827876"/>
    <s v="CLEANSPARK, INC."/>
    <n v="6199"/>
    <x v="47"/>
    <n v="132964000"/>
    <n v="2773910000"/>
    <n v="-387830000"/>
    <n v="4055000"/>
    <n v="-0.31941116930200297"/>
    <n v="-0.1398134762843784"/>
    <n v="0.4377225648993659"/>
    <s v="Outlier"/>
    <s v="OK"/>
    <s v="Outlier"/>
  </r>
  <r>
    <s v="2023"/>
    <x v="4"/>
    <n v="27673"/>
    <s v="DEERE JOHN CAPITAL CORP"/>
    <n v="6153"/>
    <x v="48"/>
    <n v="141579200000"/>
    <n v="14752600000"/>
    <n v="3333900000"/>
    <n v="3050300000"/>
    <n v="2.1106564123082691E-2"/>
    <n v="0.22598728359746759"/>
    <n v="10.706966907528161"/>
    <s v="OK"/>
    <s v="OK"/>
    <s v="OK"/>
  </r>
  <r>
    <s v="2023"/>
    <x v="4"/>
    <n v="1382230"/>
    <s v="ESSA BANCORP, INC."/>
    <n v="6036"/>
    <x v="49"/>
    <n v="3723018000"/>
    <n v="1688074000"/>
    <n v="131042000"/>
    <n v="17041000"/>
    <n v="2.8565611400260361E-2"/>
    <n v="7.7628113459481035E-2"/>
    <n v="2.717537264361634"/>
    <s v="OK"/>
    <s v="OK"/>
    <s v="OK"/>
  </r>
  <r>
    <s v="2023"/>
    <x v="4"/>
    <n v="1435508"/>
    <s v="FIRST SAVINGS FINANCIAL GROUP, INC."/>
    <n v="6035"/>
    <x v="50"/>
    <n v="4080033000"/>
    <n v="605092000"/>
    <n v="106250000"/>
    <n v="120568000"/>
    <n v="8.4257014902032676E-3"/>
    <n v="0.17559313294507281"/>
    <n v="20.84017967515684"/>
    <s v="OK"/>
    <s v="OK"/>
    <s v="OK"/>
  </r>
  <r>
    <s v="2023"/>
    <x v="4"/>
    <n v="1978811"/>
    <s v="GOUVERNEUR BANCORP, INC./MD/"/>
    <n v="6036"/>
    <x v="51"/>
    <n v="368967000"/>
    <n v="154678000"/>
    <n v="3688000"/>
    <n v="838000"/>
    <n v="8.8039264366059997E-3"/>
    <n v="2.3843080463931521E-2"/>
    <n v="2.7082325864053058"/>
    <s v="OK"/>
    <s v="OK"/>
    <s v="OK"/>
  </r>
  <r>
    <s v="2023"/>
    <x v="4"/>
    <n v="1748945"/>
    <s v="GRAYSCALE HORIZEN TRUST (ZEN)"/>
    <n v="6199"/>
    <x v="52"/>
    <n v="0"/>
    <m/>
    <n v="-3288000"/>
    <m/>
    <n v="-0.24607094746295469"/>
    <m/>
    <m/>
    <s v="Outlier"/>
    <s v="OK"/>
    <s v="OK"/>
  </r>
  <r>
    <s v="2023"/>
    <x v="4"/>
    <n v="1828588"/>
    <s v="HANOVER BANCORP, INC. /NY"/>
    <n v="6022"/>
    <x v="53"/>
    <n v="3681474000"/>
    <n v="1318845000"/>
    <n v="116160000"/>
    <n v="60361000"/>
    <n v="2.6409267251962961E-2"/>
    <n v="8.8077067434004758E-2"/>
    <n v="3.3350818329674832"/>
    <s v="OK"/>
    <s v="OK"/>
    <s v="OK"/>
  </r>
  <r>
    <s v="2023"/>
    <x v="4"/>
    <n v="1500375"/>
    <s v="HOME FEDERAL BANCORP, INC. OF LOUISIANA"/>
    <n v="6035"/>
    <x v="54"/>
    <n v="1148506000"/>
    <n v="311228000"/>
    <n v="31731000"/>
    <n v="7516000"/>
    <n v="2.3237012252322709E-2"/>
    <n v="0.10195419435269321"/>
    <n v="4.3875775958461318"/>
    <s v="OK"/>
    <s v="OK"/>
    <s v="OK"/>
  </r>
  <r>
    <s v="2023"/>
    <x v="4"/>
    <n v="1337068"/>
    <s v="MAGYAR BANCORP, INC."/>
    <n v="6035"/>
    <x v="55"/>
    <n v="1502543000"/>
    <n v="601866000"/>
    <n v="31256000"/>
    <n v="12818000"/>
    <n v="1.8322991379588299E-2"/>
    <n v="5.1931825356474698E-2"/>
    <n v="2.8342438350064629"/>
    <s v="OK"/>
    <s v="OK"/>
    <s v="OK"/>
  </r>
  <r>
    <s v="2023"/>
    <x v="4"/>
    <n v="1967306"/>
    <s v="MERCER BANCORP, INC."/>
    <n v="6036"/>
    <x v="56"/>
    <n v="275088409"/>
    <n v="-1615652626"/>
    <n v="3426292"/>
    <n v="864751"/>
    <n v="1.098419192109147E-2"/>
    <n v="-2.1206860589102899E-3"/>
    <n v="-0.1930670980755736"/>
    <s v="OK"/>
    <s v="OK"/>
    <s v="Outlier"/>
  </r>
  <r>
    <s v="2023"/>
    <x v="4"/>
    <n v="924095"/>
    <s v="METAVESCO, INC."/>
    <n v="6199"/>
    <x v="57"/>
    <n v="469235"/>
    <n v="284814"/>
    <n v="-3377390"/>
    <n v="110193"/>
    <n v="-4.1189390779617687"/>
    <n v="-11.858230283623699"/>
    <n v="2.8789525795782511"/>
    <s v="Outlier"/>
    <s v="Outlier"/>
    <s v="OK"/>
  </r>
  <r>
    <s v="2023"/>
    <x v="4"/>
    <n v="924396"/>
    <s v="OPENLOCKER HOLDINGS, INC."/>
    <n v="6199"/>
    <x v="58"/>
    <n v="225766"/>
    <n v="10929872"/>
    <n v="-19965292"/>
    <n v="11381"/>
    <n v="-3.4145053041635829"/>
    <n v="-1.826672078135956"/>
    <n v="0.53497415157286377"/>
    <s v="Outlier"/>
    <s v="Outlier"/>
    <s v="Outlier"/>
  </r>
  <r>
    <s v="2023"/>
    <x v="4"/>
    <n v="907471"/>
    <s v="PATHWARD FINANCIAL, INC."/>
    <n v="6021"/>
    <x v="59"/>
    <n v="13069146000"/>
    <n v="2656135000"/>
    <n v="1385126000"/>
    <n v="56653000"/>
    <n v="3.1924914269235348E-2"/>
    <n v="0.52148177709340826"/>
    <n v="16.334633593548521"/>
    <s v="OK"/>
    <s v="Outlier"/>
    <s v="OK"/>
  </r>
  <r>
    <s v="2023"/>
    <x v="4"/>
    <n v="1938109"/>
    <s v="PINEAPPLE FINANCIAL INC."/>
    <n v="6199"/>
    <x v="60"/>
    <n v="4643703"/>
    <n v="26661552"/>
    <n v="-11238196"/>
    <n v="150518"/>
    <n v="-1.0164771711783549"/>
    <n v="-0.42151319623103711"/>
    <n v="0.41468043570756868"/>
    <s v="Outlier"/>
    <s v="OK"/>
    <s v="Outlier"/>
  </r>
  <r>
    <s v="2023"/>
    <x v="4"/>
    <n v="1381668"/>
    <s v="TFS FINANCIAL CORP"/>
    <n v="6035"/>
    <x v="61"/>
    <n v="28956919000"/>
    <n v="17960435000"/>
    <n v="692466000"/>
    <n v="844597000"/>
    <n v="1.8971505427116949E-2"/>
    <n v="3.8555079540111357E-2"/>
    <n v="2.0322625259354798"/>
    <s v="OK"/>
    <s v="OK"/>
    <s v="OK"/>
  </r>
  <r>
    <s v="2023"/>
    <x v="4"/>
    <n v="1046050"/>
    <s v="TIMBERLAND BANCORP INC"/>
    <n v="6036"/>
    <x v="62"/>
    <n v="3248771000"/>
    <n v="2142303000"/>
    <n v="285621000"/>
    <n v="31635000"/>
    <n v="6.8787208831859431E-2"/>
    <n v="0.1333242776582024"/>
    <n v="1.938213221939193"/>
    <s v="OK"/>
    <s v="OK"/>
    <s v="OK"/>
  </r>
  <r>
    <s v="2023"/>
    <x v="4"/>
    <n v="1913838"/>
    <s v="VWF BANCORP, INC."/>
    <n v="6036"/>
    <x v="63"/>
    <n v="253666746"/>
    <n v="213020164"/>
    <n v="-1654438"/>
    <n v="1104826"/>
    <n v="-4.6713146610552836E-3"/>
    <n v="-7.7665793178151908E-3"/>
    <n v="1.6626110380799439"/>
    <s v="OK"/>
    <s v="OK"/>
    <s v="OK"/>
  </r>
  <r>
    <s v="2023"/>
    <x v="4"/>
    <n v="936528"/>
    <s v="WAFD INC"/>
    <n v="6021"/>
    <x v="64"/>
    <n v="38554872000"/>
    <n v="22382452000"/>
    <n v="2032113000"/>
    <n v="510992000"/>
    <n v="4.2374315219515533E-2"/>
    <n v="9.0790454951048261E-2"/>
    <n v="2.1425822336176572"/>
    <s v="OK"/>
    <s v="OK"/>
    <s v="OK"/>
  </r>
  <r>
    <s v="2024"/>
    <x v="5"/>
    <n v="1829311"/>
    <s v="BITMINE IMMERSION TECHNOLOGIES, INC."/>
    <n v="6199"/>
    <x v="65"/>
    <n v="5140971"/>
    <n v="35499138"/>
    <n v="-11514774"/>
    <m/>
    <n v="-0.7435441632897648"/>
    <n v="-0.32436770718207297"/>
    <n v="0.43624538150757353"/>
    <s v="Outlier"/>
    <s v="OK"/>
    <s v="Outlier"/>
  </r>
  <r>
    <s v="2024"/>
    <x v="5"/>
    <n v="1932213"/>
    <s v="BLUE CHIP CAPITAL GROUP INC."/>
    <n v="6199"/>
    <x v="66"/>
    <n v="378959"/>
    <n v="174528"/>
    <n v="-1688028"/>
    <m/>
    <n v="-9.2911641833763579"/>
    <n v="-9.6719609460946092"/>
    <n v="1.040984827649432"/>
    <s v="Outlier"/>
    <s v="Outlier"/>
    <s v="OK"/>
  </r>
  <r>
    <s v="2024"/>
    <x v="5"/>
    <n v="1490906"/>
    <s v="CAPITOL FEDERAL FINANCIAL, INC."/>
    <n v="6035"/>
    <x v="67"/>
    <n v="17629129000"/>
    <n v="10906462000"/>
    <n v="62412000"/>
    <m/>
    <n v="2.8653309599120402E-3"/>
    <n v="5.7224790220696681E-3"/>
    <n v="1.9971441701259309"/>
    <s v="OK"/>
    <s v="OK"/>
    <s v="OK"/>
  </r>
  <r>
    <s v="2024"/>
    <x v="5"/>
    <n v="827876"/>
    <s v="CLEANSPARK, INC."/>
    <n v="6199"/>
    <x v="68"/>
    <n v="372082000"/>
    <n v="6969701000"/>
    <n v="-819091000"/>
    <n v="6510000"/>
    <n v="-0.30066770915925167"/>
    <n v="-0.11752168421572171"/>
    <n v="0.39086899136706149"/>
    <s v="Outlier"/>
    <s v="OK"/>
    <s v="Outlier"/>
  </r>
  <r>
    <s v="2024"/>
    <x v="5"/>
    <n v="27673"/>
    <s v="DEERE JOHN CAPITAL CORP"/>
    <n v="6153"/>
    <x v="69"/>
    <n v="109499800000"/>
    <n v="11417200000"/>
    <n v="1847300000"/>
    <n v="5260800000"/>
    <n v="1.502837599494959E-2"/>
    <n v="0.16179974074203829"/>
    <n v="10.76628245103878"/>
    <s v="OK"/>
    <s v="OK"/>
    <s v="OK"/>
  </r>
  <r>
    <s v="2024"/>
    <x v="5"/>
    <n v="1382230"/>
    <s v="ESSA BANCORP, INC."/>
    <n v="6036"/>
    <x v="70"/>
    <n v="4030834000"/>
    <n v="1757169000"/>
    <n v="135080000"/>
    <m/>
    <n v="2.73917268387011E-2"/>
    <n v="7.6873653018007942E-2"/>
    <n v="2.8064551559923951"/>
    <s v="OK"/>
    <s v="OK"/>
    <s v="OK"/>
  </r>
  <r>
    <s v="2024"/>
    <x v="5"/>
    <n v="1435508"/>
    <s v="FIRST SAVINGS FINANCIAL GROUP, INC."/>
    <n v="6035"/>
    <x v="71"/>
    <n v="4411126000"/>
    <n v="656192000"/>
    <m/>
    <n v="232246000"/>
    <m/>
    <m/>
    <n v="21.475755571540041"/>
    <s v="OK"/>
    <s v="OK"/>
    <s v="OK"/>
  </r>
  <r>
    <s v="2024"/>
    <x v="5"/>
    <n v="1978811"/>
    <s v="GOUVERNEUR BANCORP, INC./MD/"/>
    <n v="6036"/>
    <x v="72"/>
    <n v="345272000"/>
    <n v="164668000"/>
    <n v="1712000"/>
    <m/>
    <n v="4.246611020848578E-3"/>
    <n v="1.039667694998421E-2"/>
    <n v="2.4482291641363232"/>
    <s v="OK"/>
    <s v="OK"/>
    <s v="OK"/>
  </r>
  <r>
    <s v="2024"/>
    <x v="5"/>
    <n v="1297341"/>
    <s v="KENTUCKY FIRST FEDERAL BANCORP"/>
    <n v="6035"/>
    <x v="73"/>
    <n v="625282000"/>
    <n v="599476000"/>
    <n v="-4085000"/>
    <m/>
    <n v="-4.9648812135457999E-3"/>
    <n v="-6.8142844751082612E-3"/>
    <n v="1.3724969806964751"/>
    <s v="OK"/>
    <s v="OK"/>
    <s v="OK"/>
  </r>
  <r>
    <s v="2024"/>
    <x v="5"/>
    <n v="1337068"/>
    <s v="MAGYAR BANCORP, INC."/>
    <n v="6035"/>
    <x v="74"/>
    <n v="1643872000"/>
    <n v="627680000"/>
    <n v="30984000"/>
    <m/>
    <n v="1.666514272190877E-2"/>
    <n v="4.9362732602600053E-2"/>
    <n v="2.962034794799898"/>
    <s v="OK"/>
    <s v="OK"/>
    <s v="OK"/>
  </r>
  <r>
    <s v="2024"/>
    <x v="5"/>
    <n v="924396"/>
    <s v="OPENLOCKER HOLDINGS, INC."/>
    <n v="6199"/>
    <x v="75"/>
    <n v="592208"/>
    <n v="10316778"/>
    <n v="-16408256"/>
    <m/>
    <n v="-521.09552845528458"/>
    <n v="-1.590443838182813"/>
    <n v="3.0521156896077439E-3"/>
    <s v="Outlier"/>
    <s v="Outlier"/>
    <s v="Outlier"/>
  </r>
  <r>
    <s v="2024"/>
    <x v="5"/>
    <n v="907471"/>
    <s v="PATHWARD FINANCIAL, INC."/>
    <n v="6021"/>
    <x v="76"/>
    <n v="13675822000"/>
    <n v="3035050000"/>
    <n v="1465074000"/>
    <m/>
    <n v="3.2350110408772573E-2"/>
    <n v="0.48271824187410423"/>
    <n v="14.92168761634899"/>
    <s v="OK"/>
    <s v="OK"/>
    <s v="OK"/>
  </r>
  <r>
    <s v="2024"/>
    <x v="5"/>
    <n v="1938109"/>
    <s v="PINEAPPLE FINANCIAL INC."/>
    <n v="6199"/>
    <x v="77"/>
    <n v="5590281"/>
    <n v="15523274"/>
    <n v="-13823392"/>
    <m/>
    <n v="-1.584246687593762"/>
    <n v="-0.89049462117334266"/>
    <n v="0.56209340890330228"/>
    <s v="Outlier"/>
    <s v="Outlier"/>
    <s v="Outlier"/>
  </r>
  <r>
    <s v="2024"/>
    <x v="4"/>
    <n v="1325670"/>
    <s v="PRIMIS FINANCIAL CORP."/>
    <n v="6022"/>
    <x v="78"/>
    <n v="6830931000"/>
    <n v="1530790000"/>
    <n v="75390000"/>
    <n v="250028000"/>
    <n v="4.769598469274587E-3"/>
    <n v="4.9249080540113267E-2"/>
    <n v="10.32562402419666"/>
    <s v="OK"/>
    <s v="OK"/>
    <s v="OK"/>
  </r>
  <r>
    <s v="2024"/>
    <x v="5"/>
    <n v="1951276"/>
    <s v="SR BANCORP, INC."/>
    <n v="6036"/>
    <x v="79"/>
    <n v="1350763000"/>
    <n v="1079011000"/>
    <n v="-55556000"/>
    <m/>
    <n v="-2.9680315287905362E-2"/>
    <n v="-5.1487890299542823E-2"/>
    <n v="1.7347487653045239"/>
    <s v="OK"/>
    <s v="OK"/>
    <s v="OK"/>
  </r>
  <r>
    <s v="2024"/>
    <x v="5"/>
    <n v="1437750"/>
    <s v="T-REX ACQUISITION CORP."/>
    <n v="6199"/>
    <x v="80"/>
    <n v="1888482"/>
    <n v="-1299454"/>
    <n v="-8283244"/>
    <n v="28807"/>
    <n v="-16.406849355768369"/>
    <n v="6.3744034032755286"/>
    <n v="-0.38852087107354322"/>
    <s v="Outlier"/>
    <s v="Outlier"/>
    <s v="Outlier"/>
  </r>
  <r>
    <s v="2024"/>
    <x v="5"/>
    <n v="1381668"/>
    <s v="TFS FINANCIAL CORP"/>
    <n v="6035"/>
    <x v="81"/>
    <n v="30240491000"/>
    <n v="18548145000"/>
    <n v="688209000"/>
    <m/>
    <n v="1.8196737474987418E-2"/>
    <n v="3.7103926026025781E-2"/>
    <n v="2.039042772201749"/>
    <s v="OK"/>
    <s v="OK"/>
    <s v="OK"/>
  </r>
  <r>
    <s v="2024"/>
    <x v="5"/>
    <n v="1046050"/>
    <s v="TIMBERLAND BANCORP INC"/>
    <n v="6036"/>
    <x v="82"/>
    <n v="3284894000"/>
    <n v="2516769000"/>
    <n v="276404000"/>
    <m/>
    <n v="6.5156752289352138E-2"/>
    <n v="0.10982493824423301"/>
    <n v="1.685549607453048"/>
    <s v="OK"/>
    <s v="OK"/>
    <s v="OK"/>
  </r>
  <r>
    <s v="2024"/>
    <x v="4"/>
    <n v="846377"/>
    <s v="TOTALIGENT, INC."/>
    <n v="6153"/>
    <x v="83"/>
    <n v="2306961"/>
    <n v="-3680254"/>
    <n v="-1988494"/>
    <n v="65730"/>
    <n v="-3.1272955456545639"/>
    <n v="0.54031433699956577"/>
    <n v="-0.1727736726867222"/>
    <s v="Outlier"/>
    <s v="Outlier"/>
    <s v="Outlier"/>
  </r>
  <r>
    <s v="2024"/>
    <x v="5"/>
    <n v="936528"/>
    <s v="WAFD INC"/>
    <n v="6021"/>
    <x v="84"/>
    <n v="45168065000"/>
    <n v="25080826000"/>
    <n v="2081391000"/>
    <m/>
    <n v="3.7153420890048368E-2"/>
    <n v="8.2987338614764927E-2"/>
    <n v="2.2336392350076508"/>
    <s v="OK"/>
    <s v="OK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A484D-9B19-4632-8B6D-69882D86A2F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0" firstDataRow="1" firstDataCol="1"/>
  <pivotFields count="16">
    <pivotField showAll="0"/>
    <pivotField axis="axisRow" showAll="0">
      <items count="7">
        <item x="1"/>
        <item x="0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>
      <items count="86">
        <item x="75"/>
        <item x="66"/>
        <item x="38"/>
        <item x="80"/>
        <item x="83"/>
        <item x="57"/>
        <item x="58"/>
        <item x="27"/>
        <item x="77"/>
        <item x="60"/>
        <item x="52"/>
        <item x="17"/>
        <item x="65"/>
        <item x="44"/>
        <item x="45"/>
        <item x="34"/>
        <item x="33"/>
        <item x="56"/>
        <item x="63"/>
        <item x="72"/>
        <item x="51"/>
        <item x="9"/>
        <item x="73"/>
        <item x="31"/>
        <item x="47"/>
        <item x="54"/>
        <item x="5"/>
        <item x="21"/>
        <item x="36"/>
        <item x="55"/>
        <item x="74"/>
        <item x="79"/>
        <item x="20"/>
        <item x="37"/>
        <item x="68"/>
        <item x="23"/>
        <item x="7"/>
        <item x="11"/>
        <item x="35"/>
        <item x="25"/>
        <item x="2"/>
        <item x="42"/>
        <item x="30"/>
        <item x="15"/>
        <item x="62"/>
        <item x="82"/>
        <item x="53"/>
        <item x="49"/>
        <item x="70"/>
        <item x="16"/>
        <item x="8"/>
        <item x="3"/>
        <item x="18"/>
        <item x="40"/>
        <item x="32"/>
        <item x="50"/>
        <item x="71"/>
        <item x="78"/>
        <item x="0"/>
        <item x="28"/>
        <item x="13"/>
        <item x="67"/>
        <item x="46"/>
        <item x="19"/>
        <item x="4"/>
        <item x="24"/>
        <item x="10"/>
        <item x="41"/>
        <item x="61"/>
        <item x="81"/>
        <item x="6"/>
        <item x="12"/>
        <item x="22"/>
        <item x="39"/>
        <item x="26"/>
        <item x="59"/>
        <item x="43"/>
        <item x="76"/>
        <item x="64"/>
        <item x="84"/>
        <item x="1"/>
        <item x="14"/>
        <item x="29"/>
        <item x="69"/>
        <item x="48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ssets" fld="5" baseField="1" baseItem="0" numFmtId="44"/>
    <dataField name="Sum of NetIncomeLoss" fld="8" baseField="1" baseItem="2" numFmtId="44"/>
    <dataField name="Average of ROA" fld="10" subtotal="average" baseField="1" baseItem="0" numFmtId="44"/>
    <dataField name="Average of ROE" fld="11" subtotal="average" baseField="1" baseItem="0" numFmtId="44"/>
    <dataField name="Average of LeverageRatio" fld="12" subtotal="average" baseField="1" baseItem="5" numFmtId="44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C5476-F0E3-4052-96B8-DBA539249808}" name="Table1" displayName="Table1" ref="A2:P87" totalsRowShown="0" headerRowDxfId="15" headerRowBorderDxfId="16" tableBorderDxfId="17">
  <autoFilter ref="A2:P87" xr:uid="{512C5476-F0E3-4052-96B8-DBA539249808}"/>
  <tableColumns count="16">
    <tableColumn id="1" xr3:uid="{D0EAA399-DBFE-421A-8BA5-6B246EAAC1BD}" name="dataset_year"/>
    <tableColumn id="2" xr3:uid="{AA85CEF4-3EDA-469A-8C85-2F84C8369AF9}" name="fy"/>
    <tableColumn id="3" xr3:uid="{3994B96C-BB0F-4E17-810C-DDA65C783AAB}" name="cik"/>
    <tableColumn id="4" xr3:uid="{2DFB3BA7-8945-4C33-98EA-099F3C3B250B}" name="name"/>
    <tableColumn id="5" xr3:uid="{87413F21-7BE8-48E2-80CE-D0149952A2E8}" name="sic"/>
    <tableColumn id="6" xr3:uid="{B484BA1B-691E-492E-AD99-7A9F0BA4F18F}" name="Assets" dataDxfId="14"/>
    <tableColumn id="7" xr3:uid="{D0C01819-BC7C-427B-B830-3ABD588B0613}" name="Liabilities" dataDxfId="13"/>
    <tableColumn id="8" xr3:uid="{88C19028-E1F2-433D-ADC7-EC7F01063A1A}" name="StockholdersEquity" dataDxfId="12"/>
    <tableColumn id="9" xr3:uid="{EBD6038F-FE88-4168-B8F3-591B424AC7BA}" name="NetIncomeLoss" dataDxfId="11"/>
    <tableColumn id="10" xr3:uid="{690A33EF-4C2F-42B5-A15B-28CC7921833F}" name="InterestExpense" dataDxfId="10"/>
    <tableColumn id="11" xr3:uid="{859F46B2-1B23-487B-AFAF-ABF47A3E4EA0}" name="ROA" dataDxfId="9"/>
    <tableColumn id="12" xr3:uid="{B8B38BD6-F9DF-4B08-861A-40091B6BE7C3}" name="ROE" dataDxfId="8"/>
    <tableColumn id="13" xr3:uid="{F55F7354-721D-4903-ABE4-CB2D87EC5C4F}" name="LeverageRatio" dataDxfId="7"/>
    <tableColumn id="14" xr3:uid="{B4F756D1-5B6C-4512-BD86-016BB159B668}" name="ROA_flag"/>
    <tableColumn id="15" xr3:uid="{535BCCA1-13D2-4CBA-96D7-88F35EED66C7}" name="ROE_flag"/>
    <tableColumn id="16" xr3:uid="{54323776-E88C-439C-A652-C061A0B1471A}" name="Leverage_flag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0A6ADA-FF6A-41B7-8266-24A11DAE50AB}" name="Table2" displayName="Table2" ref="H3:I9" totalsRowShown="0" dataDxfId="0" dataCellStyle="Percent">
  <autoFilter ref="H3:I9" xr:uid="{330A6ADA-FF6A-41B7-8266-24A11DAE50AB}"/>
  <tableColumns count="2">
    <tableColumn id="1" xr3:uid="{76762009-573D-486B-A1AE-9368E8FBB64C}" name="Assets YoY %" dataDxfId="2" dataCellStyle="Percent">
      <calculatedColumnFormula>(B4-B3)/B3</calculatedColumnFormula>
    </tableColumn>
    <tableColumn id="2" xr3:uid="{818FFDB1-24D4-4F07-A813-AC0395B643D6}" name="Net Income Year-over-Year (YoY %)" dataDxfId="1" dataCellStyle="Percent">
      <calculatedColumnFormula>(C4-C3)/C3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workbookViewId="0">
      <selection activeCell="M12" sqref="M12"/>
    </sheetView>
  </sheetViews>
  <sheetFormatPr defaultRowHeight="14.4" x14ac:dyDescent="0.3"/>
  <cols>
    <col min="1" max="1" width="8.109375" customWidth="1"/>
    <col min="4" max="4" width="34.109375" customWidth="1"/>
    <col min="6" max="13" width="24.44140625" style="3" customWidth="1"/>
    <col min="14" max="14" width="10.6640625" customWidth="1"/>
    <col min="15" max="15" width="10.44140625" customWidth="1"/>
    <col min="16" max="16" width="14.5546875" customWidth="1"/>
  </cols>
  <sheetData>
    <row r="1" spans="1:16" x14ac:dyDescent="0.3">
      <c r="A1" s="6" t="s">
        <v>61</v>
      </c>
      <c r="B1" s="7"/>
      <c r="C1" s="7"/>
      <c r="D1" s="7"/>
      <c r="E1" s="7"/>
      <c r="F1" s="10"/>
      <c r="G1" s="10"/>
      <c r="H1" s="10"/>
      <c r="I1" s="10"/>
      <c r="J1" s="10"/>
      <c r="K1" s="10"/>
      <c r="L1" s="10"/>
    </row>
    <row r="2" spans="1:16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11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5" t="s">
        <v>13</v>
      </c>
      <c r="O2" s="5" t="s">
        <v>14</v>
      </c>
      <c r="P2" s="5" t="s">
        <v>15</v>
      </c>
    </row>
    <row r="3" spans="1:16" x14ac:dyDescent="0.3">
      <c r="A3" t="s">
        <v>16</v>
      </c>
      <c r="B3">
        <v>2020</v>
      </c>
      <c r="C3">
        <v>1490906</v>
      </c>
      <c r="D3" t="s">
        <v>17</v>
      </c>
      <c r="E3">
        <v>6035</v>
      </c>
      <c r="F3" s="3">
        <v>21451745000</v>
      </c>
      <c r="G3" s="3">
        <v>16209375000</v>
      </c>
      <c r="H3" s="3">
        <v>13386689000</v>
      </c>
      <c r="I3" s="3">
        <v>931913000</v>
      </c>
      <c r="J3" s="3">
        <v>362791000</v>
      </c>
      <c r="K3" s="3">
        <v>4.3442293389185822E-2</v>
      </c>
      <c r="L3" s="3">
        <v>6.9614898799845129E-2</v>
      </c>
      <c r="M3" s="3">
        <v>1.602468317595187</v>
      </c>
      <c r="N3" t="s">
        <v>18</v>
      </c>
      <c r="O3" t="s">
        <v>18</v>
      </c>
      <c r="P3" t="s">
        <v>18</v>
      </c>
    </row>
    <row r="4" spans="1:16" x14ac:dyDescent="0.3">
      <c r="A4" t="s">
        <v>16</v>
      </c>
      <c r="B4">
        <v>2020</v>
      </c>
      <c r="C4">
        <v>27673</v>
      </c>
      <c r="D4" t="s">
        <v>19</v>
      </c>
      <c r="E4">
        <v>6153</v>
      </c>
      <c r="F4" s="3">
        <v>81532300000</v>
      </c>
      <c r="G4" s="3">
        <v>73795600000</v>
      </c>
      <c r="H4" s="3">
        <v>8126700000</v>
      </c>
      <c r="I4" s="3">
        <v>3267800000</v>
      </c>
      <c r="J4" s="3">
        <v>4193700000</v>
      </c>
      <c r="K4" s="3">
        <v>4.007982112610585E-2</v>
      </c>
      <c r="L4" s="3">
        <v>0.40210663614997483</v>
      </c>
      <c r="M4" s="3">
        <v>10.03264547725399</v>
      </c>
      <c r="N4" t="s">
        <v>18</v>
      </c>
      <c r="O4" t="s">
        <v>18</v>
      </c>
      <c r="P4" t="s">
        <v>18</v>
      </c>
    </row>
    <row r="5" spans="1:16" x14ac:dyDescent="0.3">
      <c r="A5" t="s">
        <v>16</v>
      </c>
      <c r="B5">
        <v>2020</v>
      </c>
      <c r="C5">
        <v>1382230</v>
      </c>
      <c r="D5" t="s">
        <v>20</v>
      </c>
      <c r="E5">
        <v>6036</v>
      </c>
      <c r="F5" s="3">
        <v>4074132000</v>
      </c>
      <c r="G5" s="3">
        <v>3312037000</v>
      </c>
      <c r="H5" s="3">
        <v>1486421000</v>
      </c>
      <c r="I5" s="3">
        <v>113450000</v>
      </c>
      <c r="J5" s="3">
        <v>72848000</v>
      </c>
      <c r="K5" s="3">
        <v>2.7846422256323559E-2</v>
      </c>
      <c r="L5" s="3">
        <v>7.6324271521998138E-2</v>
      </c>
      <c r="M5" s="3">
        <v>2.7409004582147318</v>
      </c>
      <c r="N5" t="s">
        <v>18</v>
      </c>
      <c r="O5" t="s">
        <v>18</v>
      </c>
      <c r="P5" t="s">
        <v>18</v>
      </c>
    </row>
    <row r="6" spans="1:16" x14ac:dyDescent="0.3">
      <c r="A6" t="s">
        <v>16</v>
      </c>
      <c r="B6">
        <v>2020</v>
      </c>
      <c r="C6">
        <v>1435508</v>
      </c>
      <c r="D6" t="s">
        <v>21</v>
      </c>
      <c r="E6">
        <v>6035</v>
      </c>
      <c r="F6" s="3">
        <v>8361891000</v>
      </c>
      <c r="G6" s="3">
        <v>2708382000</v>
      </c>
      <c r="H6" s="3">
        <v>556650000</v>
      </c>
      <c r="I6" s="3">
        <v>181299000</v>
      </c>
      <c r="J6" s="3">
        <v>55562000</v>
      </c>
      <c r="K6" s="3">
        <v>2.1681578963418682E-2</v>
      </c>
      <c r="L6" s="3">
        <v>0.32569657774184863</v>
      </c>
      <c r="M6" s="3">
        <v>15.021810832659661</v>
      </c>
      <c r="N6" t="s">
        <v>18</v>
      </c>
      <c r="O6" t="s">
        <v>18</v>
      </c>
      <c r="P6" t="s">
        <v>18</v>
      </c>
    </row>
    <row r="7" spans="1:16" x14ac:dyDescent="0.3">
      <c r="A7" t="s">
        <v>16</v>
      </c>
      <c r="B7">
        <v>2020</v>
      </c>
      <c r="C7">
        <v>1613665</v>
      </c>
      <c r="D7" t="s">
        <v>22</v>
      </c>
      <c r="E7">
        <v>6022</v>
      </c>
      <c r="F7" s="3">
        <v>28675893000</v>
      </c>
      <c r="G7" s="3">
        <v>22549529000</v>
      </c>
      <c r="H7" s="3">
        <v>16380084000</v>
      </c>
      <c r="I7" s="3">
        <v>-1422108000</v>
      </c>
      <c r="J7" s="3">
        <v>270356000</v>
      </c>
      <c r="K7" s="3">
        <v>-4.9592457329925177E-2</v>
      </c>
      <c r="L7" s="3">
        <v>-8.6819334992421282E-2</v>
      </c>
      <c r="M7" s="3">
        <v>1.7506560405917331</v>
      </c>
      <c r="N7" t="s">
        <v>18</v>
      </c>
      <c r="O7" t="s">
        <v>18</v>
      </c>
      <c r="P7" t="s">
        <v>18</v>
      </c>
    </row>
    <row r="8" spans="1:16" x14ac:dyDescent="0.3">
      <c r="A8" t="s">
        <v>16</v>
      </c>
      <c r="B8">
        <v>2020</v>
      </c>
      <c r="C8">
        <v>1337068</v>
      </c>
      <c r="D8" t="s">
        <v>23</v>
      </c>
      <c r="E8">
        <v>6035</v>
      </c>
      <c r="F8" s="3">
        <v>1384325000</v>
      </c>
      <c r="G8" s="3">
        <v>1272824000</v>
      </c>
      <c r="J8" s="3">
        <v>12223000</v>
      </c>
      <c r="N8" t="s">
        <v>18</v>
      </c>
      <c r="O8" t="s">
        <v>18</v>
      </c>
      <c r="P8" t="s">
        <v>18</v>
      </c>
    </row>
    <row r="9" spans="1:16" x14ac:dyDescent="0.3">
      <c r="A9" t="s">
        <v>16</v>
      </c>
      <c r="B9">
        <v>2020</v>
      </c>
      <c r="C9">
        <v>907471</v>
      </c>
      <c r="D9" t="s">
        <v>24</v>
      </c>
      <c r="E9">
        <v>6021</v>
      </c>
      <c r="F9" s="3">
        <v>38429471000</v>
      </c>
      <c r="G9" s="3">
        <v>10777039000</v>
      </c>
      <c r="H9" s="3">
        <v>3492971000</v>
      </c>
      <c r="I9" s="3">
        <v>760032000</v>
      </c>
      <c r="J9" s="3">
        <v>262146000</v>
      </c>
      <c r="K9" s="3">
        <v>1.9777321420843919E-2</v>
      </c>
      <c r="L9" s="3">
        <v>0.21758898084181061</v>
      </c>
      <c r="M9" s="3">
        <v>11.00194390391446</v>
      </c>
      <c r="N9" t="s">
        <v>18</v>
      </c>
      <c r="O9" t="s">
        <v>18</v>
      </c>
      <c r="P9" t="s">
        <v>18</v>
      </c>
    </row>
    <row r="10" spans="1:16" x14ac:dyDescent="0.3">
      <c r="A10" t="s">
        <v>16</v>
      </c>
      <c r="B10">
        <v>2020</v>
      </c>
      <c r="C10">
        <v>1578776</v>
      </c>
      <c r="D10" t="s">
        <v>25</v>
      </c>
      <c r="E10">
        <v>6036</v>
      </c>
      <c r="F10" s="3">
        <v>3048215000</v>
      </c>
      <c r="G10" s="3">
        <v>2244059000</v>
      </c>
      <c r="H10" s="3">
        <v>1335360000</v>
      </c>
      <c r="I10" s="3">
        <v>104596000</v>
      </c>
      <c r="J10" s="3">
        <v>97702000</v>
      </c>
      <c r="K10" s="3">
        <v>3.431385253336789E-2</v>
      </c>
      <c r="L10" s="3">
        <v>7.8327941528876108E-2</v>
      </c>
      <c r="M10" s="3">
        <v>2.2826915588305781</v>
      </c>
      <c r="N10" t="s">
        <v>18</v>
      </c>
      <c r="O10" t="s">
        <v>18</v>
      </c>
      <c r="P10" t="s">
        <v>18</v>
      </c>
    </row>
    <row r="11" spans="1:16" x14ac:dyDescent="0.3">
      <c r="A11" t="s">
        <v>16</v>
      </c>
      <c r="B11">
        <v>2019</v>
      </c>
      <c r="C11">
        <v>1680379</v>
      </c>
      <c r="D11" t="s">
        <v>26</v>
      </c>
      <c r="E11">
        <v>6035</v>
      </c>
      <c r="F11" s="3">
        <v>7251531000</v>
      </c>
      <c r="G11" s="3">
        <v>5916189000</v>
      </c>
      <c r="H11" s="3">
        <v>2874153000</v>
      </c>
      <c r="I11" s="3">
        <v>392079000</v>
      </c>
      <c r="J11" s="3">
        <v>121491000</v>
      </c>
      <c r="K11" s="3">
        <v>5.4068444305071579E-2</v>
      </c>
      <c r="L11" s="3">
        <v>0.1364154935384442</v>
      </c>
      <c r="M11" s="3">
        <v>2.5230149543187159</v>
      </c>
      <c r="N11" t="s">
        <v>18</v>
      </c>
      <c r="O11" t="s">
        <v>18</v>
      </c>
      <c r="P11" t="s">
        <v>18</v>
      </c>
    </row>
    <row r="12" spans="1:16" x14ac:dyDescent="0.3">
      <c r="A12" t="s">
        <v>16</v>
      </c>
      <c r="B12">
        <v>2020</v>
      </c>
      <c r="C12">
        <v>1751700</v>
      </c>
      <c r="D12" t="s">
        <v>27</v>
      </c>
      <c r="E12">
        <v>6036</v>
      </c>
      <c r="F12" s="3">
        <v>617722802</v>
      </c>
      <c r="G12" s="3">
        <v>569803024</v>
      </c>
      <c r="H12" s="3">
        <v>114152043</v>
      </c>
      <c r="I12" s="3">
        <v>1385520</v>
      </c>
      <c r="J12" s="3">
        <v>4895552</v>
      </c>
      <c r="K12" s="3">
        <v>2.2429478003954269E-3</v>
      </c>
      <c r="L12" s="3">
        <v>1.2137496303942631E-2</v>
      </c>
      <c r="M12" s="3">
        <v>5.4114038239333144</v>
      </c>
      <c r="N12" t="s">
        <v>18</v>
      </c>
      <c r="O12" t="s">
        <v>18</v>
      </c>
      <c r="P12" t="s">
        <v>18</v>
      </c>
    </row>
    <row r="13" spans="1:16" x14ac:dyDescent="0.3">
      <c r="A13" t="s">
        <v>16</v>
      </c>
      <c r="B13">
        <v>2020</v>
      </c>
      <c r="C13">
        <v>1381668</v>
      </c>
      <c r="D13" t="s">
        <v>28</v>
      </c>
      <c r="E13">
        <v>6035</v>
      </c>
      <c r="F13" s="3">
        <v>32624592000</v>
      </c>
      <c r="G13" s="3">
        <v>25887378000</v>
      </c>
      <c r="H13" s="3">
        <v>16816933000</v>
      </c>
      <c r="I13" s="3">
        <v>910437000</v>
      </c>
      <c r="J13" s="3">
        <v>1024442000</v>
      </c>
      <c r="K13" s="3">
        <v>2.790646393370988E-2</v>
      </c>
      <c r="L13" s="3">
        <v>5.4138111866176793E-2</v>
      </c>
      <c r="M13" s="3">
        <v>1.939984657131</v>
      </c>
      <c r="N13" t="s">
        <v>18</v>
      </c>
      <c r="O13" t="s">
        <v>18</v>
      </c>
      <c r="P13" t="s">
        <v>18</v>
      </c>
    </row>
    <row r="14" spans="1:16" x14ac:dyDescent="0.3">
      <c r="A14" t="s">
        <v>16</v>
      </c>
      <c r="B14">
        <v>2020</v>
      </c>
      <c r="C14">
        <v>1046050</v>
      </c>
      <c r="D14" t="s">
        <v>29</v>
      </c>
      <c r="E14">
        <v>6036</v>
      </c>
      <c r="F14" s="3">
        <v>3172264000</v>
      </c>
      <c r="G14" s="3">
        <v>2454413000</v>
      </c>
      <c r="H14" s="3">
        <v>1547263000</v>
      </c>
      <c r="I14" s="3">
        <v>243319000</v>
      </c>
      <c r="J14" s="3">
        <v>21310000</v>
      </c>
      <c r="K14" s="3">
        <v>7.6702002103229749E-2</v>
      </c>
      <c r="L14" s="3">
        <v>0.15725768663763051</v>
      </c>
      <c r="M14" s="3">
        <v>2.0502422665054358</v>
      </c>
      <c r="N14" t="s">
        <v>18</v>
      </c>
      <c r="O14" t="s">
        <v>18</v>
      </c>
      <c r="P14" t="s">
        <v>18</v>
      </c>
    </row>
    <row r="15" spans="1:16" x14ac:dyDescent="0.3">
      <c r="A15" t="s">
        <v>16</v>
      </c>
      <c r="B15">
        <v>2020</v>
      </c>
      <c r="C15">
        <v>936528</v>
      </c>
      <c r="D15" t="s">
        <v>30</v>
      </c>
      <c r="E15">
        <v>6021</v>
      </c>
      <c r="F15" s="3">
        <v>39316093000</v>
      </c>
      <c r="G15" s="3">
        <v>31221837000</v>
      </c>
      <c r="H15" s="3">
        <v>20080741000</v>
      </c>
      <c r="I15" s="3">
        <v>2146326000</v>
      </c>
      <c r="J15" s="3">
        <v>819270000</v>
      </c>
      <c r="K15" s="3">
        <v>5.459153838098816E-2</v>
      </c>
      <c r="L15" s="3">
        <v>0.1068848007152724</v>
      </c>
      <c r="M15" s="3">
        <v>1.957900507755167</v>
      </c>
      <c r="N15" t="s">
        <v>18</v>
      </c>
      <c r="O15" t="s">
        <v>18</v>
      </c>
      <c r="P15" t="s">
        <v>18</v>
      </c>
    </row>
    <row r="16" spans="1:16" x14ac:dyDescent="0.3">
      <c r="A16" t="s">
        <v>31</v>
      </c>
      <c r="B16">
        <v>2021</v>
      </c>
      <c r="C16">
        <v>1490906</v>
      </c>
      <c r="D16" t="s">
        <v>17</v>
      </c>
      <c r="E16">
        <v>6035</v>
      </c>
      <c r="F16" s="3">
        <v>21648911000</v>
      </c>
      <c r="G16" s="3">
        <v>16594647000</v>
      </c>
      <c r="H16" s="3">
        <v>13033680000</v>
      </c>
      <c r="I16" s="3">
        <v>704595000</v>
      </c>
      <c r="J16" s="3">
        <v>322790000</v>
      </c>
      <c r="K16" s="3">
        <v>3.2546440788638283E-2</v>
      </c>
      <c r="L16" s="3">
        <v>5.4059559541127303E-2</v>
      </c>
      <c r="M16" s="3">
        <v>1.660997584718974</v>
      </c>
      <c r="N16" t="s">
        <v>18</v>
      </c>
      <c r="O16" t="s">
        <v>18</v>
      </c>
      <c r="P16" t="s">
        <v>18</v>
      </c>
    </row>
    <row r="17" spans="1:16" x14ac:dyDescent="0.3">
      <c r="A17" t="s">
        <v>31</v>
      </c>
      <c r="B17">
        <v>2021</v>
      </c>
      <c r="C17">
        <v>27673</v>
      </c>
      <c r="D17" t="s">
        <v>19</v>
      </c>
      <c r="E17">
        <v>6153</v>
      </c>
      <c r="F17" s="3">
        <v>84817000000</v>
      </c>
      <c r="G17" s="3">
        <v>76362200000</v>
      </c>
      <c r="H17" s="3">
        <v>8371800000</v>
      </c>
      <c r="I17" s="3">
        <v>1554800000</v>
      </c>
      <c r="J17" s="3">
        <v>2182800000</v>
      </c>
      <c r="K17" s="3">
        <v>1.8331230767416912E-2</v>
      </c>
      <c r="L17" s="3">
        <v>0.18571872237750539</v>
      </c>
      <c r="M17" s="3">
        <v>10.13127403903581</v>
      </c>
      <c r="N17" t="s">
        <v>18</v>
      </c>
      <c r="O17" t="s">
        <v>18</v>
      </c>
      <c r="P17" t="s">
        <v>18</v>
      </c>
    </row>
    <row r="18" spans="1:16" x14ac:dyDescent="0.3">
      <c r="A18" t="s">
        <v>31</v>
      </c>
      <c r="B18">
        <v>2021</v>
      </c>
      <c r="C18">
        <v>1382230</v>
      </c>
      <c r="D18" t="s">
        <v>20</v>
      </c>
      <c r="E18">
        <v>6036</v>
      </c>
      <c r="F18" s="3">
        <v>4148503000</v>
      </c>
      <c r="G18" s="3">
        <v>3361732000</v>
      </c>
      <c r="H18" s="3">
        <v>1554599000</v>
      </c>
      <c r="I18" s="3">
        <v>124322000</v>
      </c>
      <c r="J18" s="3">
        <v>48425000</v>
      </c>
      <c r="K18" s="3">
        <v>2.9967918547967789E-2</v>
      </c>
      <c r="L18" s="3">
        <v>7.9970461836139095E-2</v>
      </c>
      <c r="M18" s="3">
        <v>2.6685357445875111</v>
      </c>
      <c r="N18" t="s">
        <v>18</v>
      </c>
      <c r="O18" t="s">
        <v>18</v>
      </c>
      <c r="P18" t="s">
        <v>18</v>
      </c>
    </row>
    <row r="19" spans="1:16" x14ac:dyDescent="0.3">
      <c r="A19" t="s">
        <v>31</v>
      </c>
      <c r="B19">
        <v>2021</v>
      </c>
      <c r="C19">
        <v>1829426</v>
      </c>
      <c r="D19" t="s">
        <v>32</v>
      </c>
      <c r="E19">
        <v>6199</v>
      </c>
      <c r="F19" s="3">
        <v>5320663075</v>
      </c>
      <c r="G19" s="3">
        <v>551283986</v>
      </c>
      <c r="H19" s="3">
        <v>-597328752</v>
      </c>
      <c r="I19" s="3">
        <v>110347424</v>
      </c>
      <c r="K19" s="3">
        <v>2.0739412070364931E-2</v>
      </c>
      <c r="L19" s="3">
        <v>-0.1847348275644364</v>
      </c>
      <c r="M19" s="3">
        <v>-8.9074283753881645</v>
      </c>
      <c r="N19" t="s">
        <v>18</v>
      </c>
      <c r="O19" t="s">
        <v>18</v>
      </c>
      <c r="P19" t="s">
        <v>33</v>
      </c>
    </row>
    <row r="20" spans="1:16" x14ac:dyDescent="0.3">
      <c r="A20" t="s">
        <v>31</v>
      </c>
      <c r="B20">
        <v>2021</v>
      </c>
      <c r="C20">
        <v>1377167</v>
      </c>
      <c r="D20" t="s">
        <v>34</v>
      </c>
      <c r="E20">
        <v>6199</v>
      </c>
      <c r="F20" s="3">
        <v>14198906</v>
      </c>
      <c r="G20" s="3">
        <v>4569298</v>
      </c>
      <c r="H20" s="3">
        <v>21727040</v>
      </c>
      <c r="I20" s="3">
        <v>-8214756</v>
      </c>
      <c r="J20" s="3">
        <v>18955</v>
      </c>
      <c r="K20" s="3">
        <v>-0.57854851634344229</v>
      </c>
      <c r="L20" s="3">
        <v>-0.37808905400827719</v>
      </c>
      <c r="M20" s="3">
        <v>0.65351313386453014</v>
      </c>
      <c r="N20" t="s">
        <v>33</v>
      </c>
      <c r="O20" t="s">
        <v>18</v>
      </c>
      <c r="P20" t="s">
        <v>33</v>
      </c>
    </row>
    <row r="21" spans="1:16" x14ac:dyDescent="0.3">
      <c r="A21" t="s">
        <v>31</v>
      </c>
      <c r="B21">
        <v>2021</v>
      </c>
      <c r="C21">
        <v>1435508</v>
      </c>
      <c r="D21" t="s">
        <v>21</v>
      </c>
      <c r="E21">
        <v>6035</v>
      </c>
      <c r="F21" s="3">
        <v>9794592000</v>
      </c>
      <c r="G21" s="3">
        <v>3147189000</v>
      </c>
      <c r="H21" s="3">
        <v>675298000</v>
      </c>
      <c r="I21" s="3">
        <v>237294000</v>
      </c>
      <c r="J21" s="3">
        <v>59062000</v>
      </c>
      <c r="K21" s="3">
        <v>2.4227042841600752E-2</v>
      </c>
      <c r="L21" s="3">
        <v>0.35139153381173938</v>
      </c>
      <c r="M21" s="3">
        <v>14.504103373621721</v>
      </c>
      <c r="N21" t="s">
        <v>18</v>
      </c>
      <c r="O21" t="s">
        <v>18</v>
      </c>
      <c r="P21" t="s">
        <v>18</v>
      </c>
    </row>
    <row r="22" spans="1:16" x14ac:dyDescent="0.3">
      <c r="A22" t="s">
        <v>31</v>
      </c>
      <c r="B22">
        <v>2021</v>
      </c>
      <c r="C22">
        <v>1613665</v>
      </c>
      <c r="D22" t="s">
        <v>22</v>
      </c>
      <c r="E22">
        <v>6022</v>
      </c>
      <c r="F22" s="3">
        <v>28100796000</v>
      </c>
      <c r="G22" s="3">
        <v>23371972000</v>
      </c>
      <c r="H22" s="3">
        <v>14308634000</v>
      </c>
      <c r="I22" s="3">
        <v>-1240740000</v>
      </c>
      <c r="J22" s="3">
        <v>219773000</v>
      </c>
      <c r="K22" s="3">
        <v>-4.4153197653191027E-2</v>
      </c>
      <c r="L22" s="3">
        <v>-8.6712679910605023E-2</v>
      </c>
      <c r="M22" s="3">
        <v>1.963904870304181</v>
      </c>
      <c r="N22" t="s">
        <v>18</v>
      </c>
      <c r="O22" t="s">
        <v>18</v>
      </c>
      <c r="P22" t="s">
        <v>18</v>
      </c>
    </row>
    <row r="23" spans="1:16" x14ac:dyDescent="0.3">
      <c r="A23" t="s">
        <v>31</v>
      </c>
      <c r="B23">
        <v>2021</v>
      </c>
      <c r="C23">
        <v>1828588</v>
      </c>
      <c r="D23" t="s">
        <v>35</v>
      </c>
      <c r="E23">
        <v>6022</v>
      </c>
      <c r="F23" s="3">
        <v>2577161000</v>
      </c>
      <c r="G23" s="3">
        <v>2176017000</v>
      </c>
      <c r="H23" s="3">
        <v>746050000</v>
      </c>
      <c r="I23" s="3">
        <v>47666000</v>
      </c>
      <c r="J23" s="3">
        <v>22234000</v>
      </c>
      <c r="K23" s="3">
        <v>1.8495546067940651E-2</v>
      </c>
      <c r="L23" s="3">
        <v>6.3891160109912207E-2</v>
      </c>
      <c r="M23" s="3">
        <v>3.4544078815092818</v>
      </c>
      <c r="N23" t="s">
        <v>18</v>
      </c>
      <c r="O23" t="s">
        <v>18</v>
      </c>
      <c r="P23" t="s">
        <v>18</v>
      </c>
    </row>
    <row r="24" spans="1:16" x14ac:dyDescent="0.3">
      <c r="A24" t="s">
        <v>31</v>
      </c>
      <c r="B24">
        <v>2021</v>
      </c>
      <c r="C24">
        <v>1337068</v>
      </c>
      <c r="D24" t="s">
        <v>23</v>
      </c>
      <c r="E24">
        <v>6035</v>
      </c>
      <c r="F24" s="3">
        <v>1554207000</v>
      </c>
      <c r="G24" s="3">
        <v>1373862000</v>
      </c>
      <c r="J24" s="3">
        <v>8454000</v>
      </c>
      <c r="N24" t="s">
        <v>18</v>
      </c>
      <c r="O24" t="s">
        <v>18</v>
      </c>
      <c r="P24" t="s">
        <v>18</v>
      </c>
    </row>
    <row r="25" spans="1:16" x14ac:dyDescent="0.3">
      <c r="A25" t="s">
        <v>31</v>
      </c>
      <c r="B25">
        <v>2021</v>
      </c>
      <c r="C25">
        <v>907471</v>
      </c>
      <c r="D25" t="s">
        <v>24</v>
      </c>
      <c r="E25">
        <v>6021</v>
      </c>
      <c r="F25" s="3">
        <v>40297904000</v>
      </c>
      <c r="G25" s="3">
        <v>11251851000</v>
      </c>
      <c r="H25" s="3">
        <v>3544618000</v>
      </c>
      <c r="I25" s="3">
        <v>1030295000</v>
      </c>
      <c r="J25" s="3">
        <v>219756000</v>
      </c>
      <c r="K25" s="3">
        <v>2.5566962490158301E-2</v>
      </c>
      <c r="L25" s="3">
        <v>0.29066460758253782</v>
      </c>
      <c r="M25" s="3">
        <v>11.36875793103798</v>
      </c>
      <c r="N25" t="s">
        <v>18</v>
      </c>
      <c r="O25" t="s">
        <v>18</v>
      </c>
      <c r="P25" t="s">
        <v>18</v>
      </c>
    </row>
    <row r="26" spans="1:16" x14ac:dyDescent="0.3">
      <c r="A26" t="s">
        <v>31</v>
      </c>
      <c r="B26">
        <v>2021</v>
      </c>
      <c r="C26">
        <v>1578776</v>
      </c>
      <c r="D26" t="s">
        <v>25</v>
      </c>
      <c r="E26">
        <v>6036</v>
      </c>
      <c r="F26" s="3">
        <v>2858894000</v>
      </c>
      <c r="G26" s="3">
        <v>2064248000</v>
      </c>
      <c r="H26" s="3">
        <v>1314759000</v>
      </c>
      <c r="I26" s="3">
        <v>107460000</v>
      </c>
      <c r="J26" s="3">
        <v>107024000</v>
      </c>
      <c r="K26" s="3">
        <v>3.7587962337883113E-2</v>
      </c>
      <c r="L26" s="3">
        <v>8.1733610494394787E-2</v>
      </c>
      <c r="M26" s="3">
        <v>2.1744623919668928</v>
      </c>
      <c r="N26" t="s">
        <v>18</v>
      </c>
      <c r="O26" t="s">
        <v>18</v>
      </c>
      <c r="P26" t="s">
        <v>18</v>
      </c>
    </row>
    <row r="27" spans="1:16" x14ac:dyDescent="0.3">
      <c r="A27" t="s">
        <v>31</v>
      </c>
      <c r="B27">
        <v>2021</v>
      </c>
      <c r="C27">
        <v>1381668</v>
      </c>
      <c r="D27" t="s">
        <v>28</v>
      </c>
      <c r="E27">
        <v>6035</v>
      </c>
      <c r="F27" s="3">
        <v>32118971000</v>
      </c>
      <c r="G27" s="3">
        <v>25310705000</v>
      </c>
      <c r="H27" s="3">
        <v>16805266000</v>
      </c>
      <c r="I27" s="3">
        <v>733683000</v>
      </c>
      <c r="J27" s="3">
        <v>589191000</v>
      </c>
      <c r="K27" s="3">
        <v>2.2842668278507429E-2</v>
      </c>
      <c r="L27" s="3">
        <v>4.3657922463113653E-2</v>
      </c>
      <c r="M27" s="3">
        <v>1.9112444277882901</v>
      </c>
      <c r="N27" t="s">
        <v>18</v>
      </c>
      <c r="O27" t="s">
        <v>18</v>
      </c>
      <c r="P27" t="s">
        <v>18</v>
      </c>
    </row>
    <row r="28" spans="1:16" x14ac:dyDescent="0.3">
      <c r="A28" t="s">
        <v>31</v>
      </c>
      <c r="B28">
        <v>2021</v>
      </c>
      <c r="C28">
        <v>1046050</v>
      </c>
      <c r="D28" t="s">
        <v>29</v>
      </c>
      <c r="E28">
        <v>6036</v>
      </c>
      <c r="F28" s="3">
        <v>3752860000</v>
      </c>
      <c r="G28" s="3">
        <v>2963629000</v>
      </c>
      <c r="H28" s="3">
        <v>1775076000</v>
      </c>
      <c r="I28" s="3">
        <v>279468000</v>
      </c>
      <c r="J28" s="3">
        <v>20175000</v>
      </c>
      <c r="K28" s="3">
        <v>7.446800573429331E-2</v>
      </c>
      <c r="L28" s="3">
        <v>0.15744001946958891</v>
      </c>
      <c r="M28" s="3">
        <v>2.1141968005876932</v>
      </c>
      <c r="N28" t="s">
        <v>18</v>
      </c>
      <c r="O28" t="s">
        <v>18</v>
      </c>
      <c r="P28" t="s">
        <v>18</v>
      </c>
    </row>
    <row r="29" spans="1:16" x14ac:dyDescent="0.3">
      <c r="A29" t="s">
        <v>31</v>
      </c>
      <c r="B29">
        <v>2021</v>
      </c>
      <c r="C29">
        <v>936528</v>
      </c>
      <c r="D29" t="s">
        <v>30</v>
      </c>
      <c r="E29">
        <v>6021</v>
      </c>
      <c r="F29" s="3">
        <v>42588922000</v>
      </c>
      <c r="G29" s="3">
        <v>34308528000</v>
      </c>
      <c r="H29" s="3">
        <v>20436507000</v>
      </c>
      <c r="I29" s="3">
        <v>1701927000</v>
      </c>
      <c r="J29" s="3">
        <v>428664000</v>
      </c>
      <c r="K29" s="3">
        <v>3.9961729954094638E-2</v>
      </c>
      <c r="L29" s="3">
        <v>8.3278761874521906E-2</v>
      </c>
      <c r="M29" s="3">
        <v>2.083962880740823</v>
      </c>
      <c r="N29" t="s">
        <v>18</v>
      </c>
      <c r="O29" t="s">
        <v>18</v>
      </c>
      <c r="P29" t="s">
        <v>18</v>
      </c>
    </row>
    <row r="30" spans="1:16" x14ac:dyDescent="0.3">
      <c r="A30" t="s">
        <v>36</v>
      </c>
      <c r="B30">
        <v>2022</v>
      </c>
      <c r="C30">
        <v>1829311</v>
      </c>
      <c r="D30" t="s">
        <v>37</v>
      </c>
      <c r="E30">
        <v>6199</v>
      </c>
      <c r="F30" s="3">
        <v>8620234</v>
      </c>
      <c r="G30" s="3">
        <v>855476</v>
      </c>
      <c r="H30" s="3">
        <v>15429362</v>
      </c>
      <c r="I30" s="3">
        <v>-4318944</v>
      </c>
      <c r="K30" s="3">
        <v>-0.50102398612381061</v>
      </c>
      <c r="L30" s="3">
        <v>-0.27991721239024658</v>
      </c>
      <c r="M30" s="3">
        <v>0.55869024266849143</v>
      </c>
      <c r="N30" t="s">
        <v>33</v>
      </c>
      <c r="O30" t="s">
        <v>18</v>
      </c>
      <c r="P30" t="s">
        <v>33</v>
      </c>
    </row>
    <row r="31" spans="1:16" x14ac:dyDescent="0.3">
      <c r="A31" t="s">
        <v>36</v>
      </c>
      <c r="B31">
        <v>2022</v>
      </c>
      <c r="C31">
        <v>1490906</v>
      </c>
      <c r="D31" t="s">
        <v>17</v>
      </c>
      <c r="E31">
        <v>6035</v>
      </c>
      <c r="F31" s="3">
        <v>21595150000</v>
      </c>
      <c r="G31" s="3">
        <v>16917606000</v>
      </c>
      <c r="H31" s="3">
        <v>12254286000</v>
      </c>
      <c r="I31" s="3">
        <v>675225000</v>
      </c>
      <c r="J31" s="3">
        <v>285769000</v>
      </c>
      <c r="K31" s="3">
        <v>3.1267437364408207E-2</v>
      </c>
      <c r="L31" s="3">
        <v>5.5101129515012143E-2</v>
      </c>
      <c r="M31" s="3">
        <v>1.7622528150558909</v>
      </c>
      <c r="N31" t="s">
        <v>18</v>
      </c>
      <c r="O31" t="s">
        <v>18</v>
      </c>
      <c r="P31" t="s">
        <v>18</v>
      </c>
    </row>
    <row r="32" spans="1:16" x14ac:dyDescent="0.3">
      <c r="A32" t="s">
        <v>36</v>
      </c>
      <c r="B32">
        <v>2022</v>
      </c>
      <c r="C32">
        <v>27673</v>
      </c>
      <c r="D32" t="s">
        <v>19</v>
      </c>
      <c r="E32">
        <v>6153</v>
      </c>
      <c r="F32" s="3">
        <v>93057000000</v>
      </c>
      <c r="G32" s="3">
        <v>82813500000</v>
      </c>
      <c r="H32" s="3">
        <v>8864000000</v>
      </c>
      <c r="I32" s="3">
        <v>1839900000</v>
      </c>
      <c r="J32" s="3">
        <v>1699200000</v>
      </c>
      <c r="K32" s="3">
        <v>1.9771752796673009E-2</v>
      </c>
      <c r="L32" s="3">
        <v>0.20756994584837549</v>
      </c>
      <c r="M32" s="3">
        <v>10.49830776173285</v>
      </c>
      <c r="N32" t="s">
        <v>18</v>
      </c>
      <c r="O32" t="s">
        <v>18</v>
      </c>
      <c r="P32" t="s">
        <v>18</v>
      </c>
    </row>
    <row r="33" spans="1:16" x14ac:dyDescent="0.3">
      <c r="A33" t="s">
        <v>36</v>
      </c>
      <c r="B33">
        <v>2022</v>
      </c>
      <c r="C33">
        <v>1382230</v>
      </c>
      <c r="D33" t="s">
        <v>20</v>
      </c>
      <c r="E33">
        <v>6036</v>
      </c>
      <c r="F33" s="3">
        <v>4137718000</v>
      </c>
      <c r="G33" s="3">
        <v>3309094000</v>
      </c>
      <c r="H33" s="3">
        <v>1619003000</v>
      </c>
      <c r="I33" s="3">
        <v>107580000</v>
      </c>
      <c r="J33" s="3">
        <v>10012000</v>
      </c>
      <c r="K33" s="3">
        <v>2.5999838558355109E-2</v>
      </c>
      <c r="L33" s="3">
        <v>6.6448301825259126E-2</v>
      </c>
      <c r="M33" s="3">
        <v>2.5557197855717382</v>
      </c>
      <c r="N33" t="s">
        <v>18</v>
      </c>
      <c r="O33" t="s">
        <v>18</v>
      </c>
      <c r="P33" t="s">
        <v>18</v>
      </c>
    </row>
    <row r="34" spans="1:16" x14ac:dyDescent="0.3">
      <c r="A34" t="s">
        <v>36</v>
      </c>
      <c r="B34">
        <v>2022</v>
      </c>
      <c r="C34">
        <v>1829426</v>
      </c>
      <c r="D34" t="s">
        <v>32</v>
      </c>
      <c r="E34">
        <v>6199</v>
      </c>
      <c r="F34" s="3">
        <v>1206012262</v>
      </c>
      <c r="G34" s="3">
        <v>84622265</v>
      </c>
      <c r="H34" s="3">
        <v>-162401298</v>
      </c>
      <c r="I34" s="3">
        <v>100074964</v>
      </c>
      <c r="K34" s="3">
        <v>8.2980055139771039E-2</v>
      </c>
      <c r="L34" s="3">
        <v>-0.61622022257482201</v>
      </c>
      <c r="M34" s="3">
        <v>-7.4261245251869843</v>
      </c>
      <c r="N34" t="s">
        <v>18</v>
      </c>
      <c r="O34" t="s">
        <v>33</v>
      </c>
      <c r="P34" t="s">
        <v>33</v>
      </c>
    </row>
    <row r="35" spans="1:16" x14ac:dyDescent="0.3">
      <c r="A35" t="s">
        <v>36</v>
      </c>
      <c r="B35">
        <v>2022</v>
      </c>
      <c r="C35">
        <v>1435508</v>
      </c>
      <c r="D35" t="s">
        <v>21</v>
      </c>
      <c r="E35">
        <v>6035</v>
      </c>
      <c r="F35" s="3">
        <v>11492391000</v>
      </c>
      <c r="G35" s="3">
        <v>3446056000</v>
      </c>
      <c r="H35" s="3">
        <v>666000000</v>
      </c>
      <c r="I35" s="3">
        <v>158730000</v>
      </c>
      <c r="J35" s="3">
        <v>57942000</v>
      </c>
      <c r="K35" s="3">
        <v>1.381174726825775E-2</v>
      </c>
      <c r="L35" s="3">
        <v>0.23833333333333331</v>
      </c>
      <c r="M35" s="3">
        <v>17.255842342342341</v>
      </c>
      <c r="N35" t="s">
        <v>18</v>
      </c>
      <c r="O35" t="s">
        <v>18</v>
      </c>
      <c r="P35" t="s">
        <v>18</v>
      </c>
    </row>
    <row r="36" spans="1:16" x14ac:dyDescent="0.3">
      <c r="A36" t="s">
        <v>36</v>
      </c>
      <c r="B36">
        <v>2022</v>
      </c>
      <c r="C36">
        <v>1748945</v>
      </c>
      <c r="D36" t="s">
        <v>38</v>
      </c>
      <c r="E36">
        <v>6199</v>
      </c>
      <c r="F36" s="3">
        <v>52631000</v>
      </c>
      <c r="G36" s="3">
        <v>0</v>
      </c>
      <c r="N36" t="s">
        <v>18</v>
      </c>
      <c r="O36" t="s">
        <v>18</v>
      </c>
      <c r="P36" t="s">
        <v>18</v>
      </c>
    </row>
    <row r="37" spans="1:16" x14ac:dyDescent="0.3">
      <c r="A37" t="s">
        <v>36</v>
      </c>
      <c r="B37">
        <v>2022</v>
      </c>
      <c r="C37">
        <v>1761325</v>
      </c>
      <c r="D37" t="s">
        <v>39</v>
      </c>
      <c r="E37">
        <v>6199</v>
      </c>
      <c r="F37" s="3">
        <v>29995000</v>
      </c>
      <c r="G37" s="3">
        <v>0</v>
      </c>
      <c r="N37" t="s">
        <v>18</v>
      </c>
      <c r="O37" t="s">
        <v>18</v>
      </c>
      <c r="P37" t="s">
        <v>18</v>
      </c>
    </row>
    <row r="38" spans="1:16" x14ac:dyDescent="0.3">
      <c r="A38" t="s">
        <v>36</v>
      </c>
      <c r="B38">
        <v>2022</v>
      </c>
      <c r="C38">
        <v>1828588</v>
      </c>
      <c r="D38" t="s">
        <v>35</v>
      </c>
      <c r="E38">
        <v>6022</v>
      </c>
      <c r="F38" s="3">
        <v>3670287000</v>
      </c>
      <c r="G38" s="3">
        <v>3080061000</v>
      </c>
      <c r="H38" s="3">
        <v>1041217000</v>
      </c>
      <c r="I38" s="3">
        <v>103221000</v>
      </c>
      <c r="J38" s="3">
        <v>16834000</v>
      </c>
      <c r="K38" s="3">
        <v>2.8123413782082982E-2</v>
      </c>
      <c r="L38" s="3">
        <v>9.9134954577191889E-2</v>
      </c>
      <c r="M38" s="3">
        <v>3.5249971907873192</v>
      </c>
      <c r="N38" t="s">
        <v>18</v>
      </c>
      <c r="O38" t="s">
        <v>18</v>
      </c>
      <c r="P38" t="s">
        <v>18</v>
      </c>
    </row>
    <row r="39" spans="1:16" x14ac:dyDescent="0.3">
      <c r="A39" t="s">
        <v>36</v>
      </c>
      <c r="B39">
        <v>2022</v>
      </c>
      <c r="C39">
        <v>1337068</v>
      </c>
      <c r="D39" t="s">
        <v>23</v>
      </c>
      <c r="E39">
        <v>6035</v>
      </c>
      <c r="F39" s="3">
        <v>1612237000</v>
      </c>
      <c r="G39" s="3">
        <v>1380998000</v>
      </c>
      <c r="I39" s="3">
        <v>28078000</v>
      </c>
      <c r="J39" s="3">
        <v>5425000</v>
      </c>
      <c r="K39" s="3">
        <v>1.7415553668598351E-2</v>
      </c>
      <c r="N39" t="s">
        <v>18</v>
      </c>
      <c r="O39" t="s">
        <v>18</v>
      </c>
      <c r="P39" t="s">
        <v>18</v>
      </c>
    </row>
    <row r="40" spans="1:16" x14ac:dyDescent="0.3">
      <c r="A40" t="s">
        <v>36</v>
      </c>
      <c r="B40">
        <v>2022</v>
      </c>
      <c r="C40">
        <v>1550603</v>
      </c>
      <c r="D40" t="s">
        <v>40</v>
      </c>
      <c r="E40">
        <v>6035</v>
      </c>
      <c r="F40" s="3">
        <v>2592454000</v>
      </c>
      <c r="G40" s="3">
        <v>2015228000</v>
      </c>
      <c r="H40" s="3">
        <v>1147025000</v>
      </c>
      <c r="I40" s="3">
        <v>20577000</v>
      </c>
      <c r="J40" s="3">
        <v>18948000</v>
      </c>
      <c r="K40" s="3">
        <v>7.937267160767366E-3</v>
      </c>
      <c r="L40" s="3">
        <v>1.793945206076589E-2</v>
      </c>
      <c r="M40" s="3">
        <v>2.2601547481528299</v>
      </c>
      <c r="N40" t="s">
        <v>18</v>
      </c>
      <c r="O40" t="s">
        <v>18</v>
      </c>
      <c r="P40" t="s">
        <v>18</v>
      </c>
    </row>
    <row r="41" spans="1:16" x14ac:dyDescent="0.3">
      <c r="A41" t="s">
        <v>36</v>
      </c>
      <c r="B41">
        <v>2022</v>
      </c>
      <c r="C41">
        <v>924095</v>
      </c>
      <c r="D41" t="s">
        <v>41</v>
      </c>
      <c r="E41">
        <v>6199</v>
      </c>
      <c r="F41" s="3">
        <v>483684</v>
      </c>
      <c r="H41" s="3">
        <v>28688</v>
      </c>
      <c r="I41" s="3">
        <v>-2465024</v>
      </c>
      <c r="J41" s="3">
        <v>58453</v>
      </c>
      <c r="K41" s="3">
        <v>-5.0963521638094296</v>
      </c>
      <c r="L41" s="3">
        <v>-85.925264919129944</v>
      </c>
      <c r="M41" s="3">
        <v>16.860150585610711</v>
      </c>
      <c r="N41" t="s">
        <v>33</v>
      </c>
      <c r="O41" t="s">
        <v>33</v>
      </c>
      <c r="P41" t="s">
        <v>18</v>
      </c>
    </row>
    <row r="42" spans="1:16" x14ac:dyDescent="0.3">
      <c r="A42" t="s">
        <v>36</v>
      </c>
      <c r="B42">
        <v>2022</v>
      </c>
      <c r="C42">
        <v>907471</v>
      </c>
      <c r="D42" t="s">
        <v>42</v>
      </c>
      <c r="E42">
        <v>6021</v>
      </c>
      <c r="F42" s="3">
        <v>40793107000</v>
      </c>
      <c r="G42" s="3">
        <v>12056013000</v>
      </c>
      <c r="H42" s="3">
        <v>3111386000</v>
      </c>
      <c r="I42" s="3">
        <v>1208441000</v>
      </c>
      <c r="J42" s="3">
        <v>105141000</v>
      </c>
      <c r="K42" s="3">
        <v>2.9623656761422951E-2</v>
      </c>
      <c r="L42" s="3">
        <v>0.38839314697694211</v>
      </c>
      <c r="M42" s="3">
        <v>13.110911664447929</v>
      </c>
      <c r="N42" t="s">
        <v>18</v>
      </c>
      <c r="O42" t="s">
        <v>18</v>
      </c>
      <c r="P42" t="s">
        <v>18</v>
      </c>
    </row>
    <row r="43" spans="1:16" x14ac:dyDescent="0.3">
      <c r="A43" t="s">
        <v>36</v>
      </c>
      <c r="B43">
        <v>2021</v>
      </c>
      <c r="C43">
        <v>834285</v>
      </c>
      <c r="D43" t="s">
        <v>43</v>
      </c>
      <c r="E43">
        <v>6022</v>
      </c>
      <c r="F43" s="3">
        <v>11347717000</v>
      </c>
      <c r="G43" s="3">
        <v>10083348000</v>
      </c>
      <c r="H43" s="3">
        <v>3349565000</v>
      </c>
      <c r="I43" s="3">
        <v>110419000</v>
      </c>
      <c r="J43" s="3">
        <v>110475000</v>
      </c>
      <c r="K43" s="3">
        <v>9.7305035012769537E-3</v>
      </c>
      <c r="L43" s="3">
        <v>3.2965176075102291E-2</v>
      </c>
      <c r="M43" s="3">
        <v>3.3878181196662851</v>
      </c>
      <c r="N43" t="s">
        <v>18</v>
      </c>
      <c r="O43" t="s">
        <v>18</v>
      </c>
      <c r="P43" t="s">
        <v>18</v>
      </c>
    </row>
    <row r="44" spans="1:16" x14ac:dyDescent="0.3">
      <c r="A44" t="s">
        <v>36</v>
      </c>
      <c r="B44">
        <v>2022</v>
      </c>
      <c r="C44">
        <v>1381668</v>
      </c>
      <c r="D44" t="s">
        <v>28</v>
      </c>
      <c r="E44">
        <v>6035</v>
      </c>
      <c r="F44" s="3">
        <v>33442741000</v>
      </c>
      <c r="G44" s="3">
        <v>26289503000</v>
      </c>
      <c r="H44" s="3">
        <v>17149549000</v>
      </c>
      <c r="I44" s="3">
        <v>716667000</v>
      </c>
      <c r="J44" s="3">
        <v>674944000</v>
      </c>
      <c r="K44" s="3">
        <v>2.142967288476743E-2</v>
      </c>
      <c r="L44" s="3">
        <v>4.1789262213251209E-2</v>
      </c>
      <c r="M44" s="3">
        <v>1.950065334079631</v>
      </c>
      <c r="N44" t="s">
        <v>18</v>
      </c>
      <c r="O44" t="s">
        <v>18</v>
      </c>
      <c r="P44" t="s">
        <v>18</v>
      </c>
    </row>
    <row r="45" spans="1:16" x14ac:dyDescent="0.3">
      <c r="A45" t="s">
        <v>36</v>
      </c>
      <c r="B45">
        <v>2022</v>
      </c>
      <c r="C45">
        <v>1046050</v>
      </c>
      <c r="D45" t="s">
        <v>29</v>
      </c>
      <c r="E45">
        <v>6036</v>
      </c>
      <c r="F45" s="3">
        <v>4078281000</v>
      </c>
      <c r="G45" s="3">
        <v>3227220000</v>
      </c>
      <c r="H45" s="3">
        <v>1993251000</v>
      </c>
      <c r="I45" s="3">
        <v>277539000</v>
      </c>
      <c r="J45" s="3">
        <v>16257000</v>
      </c>
      <c r="K45" s="3">
        <v>6.8052937009490028E-2</v>
      </c>
      <c r="L45" s="3">
        <v>0.13923936323122379</v>
      </c>
      <c r="M45" s="3">
        <v>2.046044878442304</v>
      </c>
      <c r="N45" t="s">
        <v>18</v>
      </c>
      <c r="O45" t="s">
        <v>18</v>
      </c>
      <c r="P45" t="s">
        <v>18</v>
      </c>
    </row>
    <row r="46" spans="1:16" x14ac:dyDescent="0.3">
      <c r="A46" t="s">
        <v>36</v>
      </c>
      <c r="B46">
        <v>2022</v>
      </c>
      <c r="C46">
        <v>936528</v>
      </c>
      <c r="D46" t="s">
        <v>30</v>
      </c>
      <c r="E46">
        <v>6021</v>
      </c>
      <c r="F46" s="3">
        <v>44831483000</v>
      </c>
      <c r="G46" s="3">
        <v>36030835000</v>
      </c>
      <c r="H46" s="3">
        <v>21251338000</v>
      </c>
      <c r="I46" s="3">
        <v>1780149000</v>
      </c>
      <c r="J46" s="3">
        <v>310028000</v>
      </c>
      <c r="K46" s="3">
        <v>3.9707564436358263E-2</v>
      </c>
      <c r="L46" s="3">
        <v>8.3766443317592518E-2</v>
      </c>
      <c r="M46" s="3">
        <v>2.109584017721613</v>
      </c>
      <c r="N46" t="s">
        <v>18</v>
      </c>
      <c r="O46" t="s">
        <v>18</v>
      </c>
      <c r="P46" t="s">
        <v>18</v>
      </c>
    </row>
    <row r="47" spans="1:16" x14ac:dyDescent="0.3">
      <c r="A47" t="s">
        <v>44</v>
      </c>
      <c r="B47">
        <v>2023</v>
      </c>
      <c r="C47">
        <v>1829311</v>
      </c>
      <c r="D47" t="s">
        <v>37</v>
      </c>
      <c r="E47">
        <v>6199</v>
      </c>
      <c r="F47" s="3">
        <v>16177006</v>
      </c>
      <c r="G47" s="3">
        <v>2515435</v>
      </c>
      <c r="H47" s="3">
        <v>28044243</v>
      </c>
      <c r="I47" s="3">
        <v>-8940068</v>
      </c>
      <c r="K47" s="3">
        <v>-0.55264045769656012</v>
      </c>
      <c r="L47" s="3">
        <v>-0.31878442930336898</v>
      </c>
      <c r="M47" s="3">
        <v>0.57683874726089057</v>
      </c>
      <c r="N47" t="s">
        <v>33</v>
      </c>
      <c r="O47" t="s">
        <v>18</v>
      </c>
      <c r="P47" t="s">
        <v>33</v>
      </c>
    </row>
    <row r="48" spans="1:16" x14ac:dyDescent="0.3">
      <c r="A48" t="s">
        <v>44</v>
      </c>
      <c r="B48">
        <v>2023</v>
      </c>
      <c r="C48">
        <v>1975931</v>
      </c>
      <c r="D48" t="s">
        <v>45</v>
      </c>
      <c r="E48">
        <v>6199</v>
      </c>
      <c r="F48" s="3">
        <v>25337000</v>
      </c>
      <c r="G48" s="3">
        <v>86269000</v>
      </c>
      <c r="H48" s="3">
        <v>-171290000</v>
      </c>
      <c r="I48" s="3">
        <v>-15596000</v>
      </c>
      <c r="K48" s="3">
        <v>-0.61554248727157912</v>
      </c>
      <c r="L48" s="3">
        <v>9.1050265631385366E-2</v>
      </c>
      <c r="M48" s="3">
        <v>-0.14791873431023411</v>
      </c>
      <c r="N48" t="s">
        <v>33</v>
      </c>
      <c r="O48" t="s">
        <v>18</v>
      </c>
      <c r="P48" t="s">
        <v>33</v>
      </c>
    </row>
    <row r="49" spans="1:16" x14ac:dyDescent="0.3">
      <c r="A49" t="s">
        <v>44</v>
      </c>
      <c r="B49">
        <v>2023</v>
      </c>
      <c r="C49">
        <v>1490906</v>
      </c>
      <c r="D49" t="s">
        <v>17</v>
      </c>
      <c r="E49">
        <v>6035</v>
      </c>
      <c r="F49" s="3">
        <v>21943135000</v>
      </c>
      <c r="G49" s="3">
        <v>17662029000</v>
      </c>
      <c r="H49" s="3">
        <v>11471347000</v>
      </c>
      <c r="I49" s="3">
        <v>176628000</v>
      </c>
      <c r="J49" s="3">
        <v>376643000</v>
      </c>
      <c r="K49" s="3">
        <v>8.04935119799427E-3</v>
      </c>
      <c r="L49" s="3">
        <v>1.539731994856402E-2</v>
      </c>
      <c r="M49" s="3">
        <v>1.9128647228612301</v>
      </c>
      <c r="N49" t="s">
        <v>18</v>
      </c>
      <c r="O49" t="s">
        <v>18</v>
      </c>
      <c r="P49" t="s">
        <v>18</v>
      </c>
    </row>
    <row r="50" spans="1:16" x14ac:dyDescent="0.3">
      <c r="A50" t="s">
        <v>44</v>
      </c>
      <c r="B50">
        <v>2023</v>
      </c>
      <c r="C50">
        <v>827876</v>
      </c>
      <c r="D50" t="s">
        <v>46</v>
      </c>
      <c r="E50">
        <v>6199</v>
      </c>
      <c r="F50" s="3">
        <v>1214203000</v>
      </c>
      <c r="G50" s="3">
        <v>132964000</v>
      </c>
      <c r="H50" s="3">
        <v>2773910000</v>
      </c>
      <c r="I50" s="3">
        <v>-387830000</v>
      </c>
      <c r="J50" s="3">
        <v>4055000</v>
      </c>
      <c r="K50" s="3">
        <v>-0.31941116930200297</v>
      </c>
      <c r="L50" s="3">
        <v>-0.1398134762843784</v>
      </c>
      <c r="M50" s="3">
        <v>0.4377225648993659</v>
      </c>
      <c r="N50" t="s">
        <v>33</v>
      </c>
      <c r="O50" t="s">
        <v>18</v>
      </c>
      <c r="P50" t="s">
        <v>33</v>
      </c>
    </row>
    <row r="51" spans="1:16" x14ac:dyDescent="0.3">
      <c r="A51" t="s">
        <v>44</v>
      </c>
      <c r="B51">
        <v>2023</v>
      </c>
      <c r="C51">
        <v>27673</v>
      </c>
      <c r="D51" t="s">
        <v>19</v>
      </c>
      <c r="E51">
        <v>6153</v>
      </c>
      <c r="F51" s="3">
        <v>157955600000</v>
      </c>
      <c r="G51" s="3">
        <v>141579200000</v>
      </c>
      <c r="H51" s="3">
        <v>14752600000</v>
      </c>
      <c r="I51" s="3">
        <v>3333900000</v>
      </c>
      <c r="J51" s="3">
        <v>3050300000</v>
      </c>
      <c r="K51" s="3">
        <v>2.1106564123082691E-2</v>
      </c>
      <c r="L51" s="3">
        <v>0.22598728359746759</v>
      </c>
      <c r="M51" s="3">
        <v>10.706966907528161</v>
      </c>
      <c r="N51" t="s">
        <v>18</v>
      </c>
      <c r="O51" t="s">
        <v>18</v>
      </c>
      <c r="P51" t="s">
        <v>18</v>
      </c>
    </row>
    <row r="52" spans="1:16" x14ac:dyDescent="0.3">
      <c r="A52" t="s">
        <v>44</v>
      </c>
      <c r="B52">
        <v>2023</v>
      </c>
      <c r="C52">
        <v>1382230</v>
      </c>
      <c r="D52" t="s">
        <v>20</v>
      </c>
      <c r="E52">
        <v>6036</v>
      </c>
      <c r="F52" s="3">
        <v>4587404000</v>
      </c>
      <c r="G52" s="3">
        <v>3723018000</v>
      </c>
      <c r="H52" s="3">
        <v>1688074000</v>
      </c>
      <c r="I52" s="3">
        <v>131042000</v>
      </c>
      <c r="J52" s="3">
        <v>17041000</v>
      </c>
      <c r="K52" s="3">
        <v>2.8565611400260361E-2</v>
      </c>
      <c r="L52" s="3">
        <v>7.7628113459481035E-2</v>
      </c>
      <c r="M52" s="3">
        <v>2.717537264361634</v>
      </c>
      <c r="N52" t="s">
        <v>18</v>
      </c>
      <c r="O52" t="s">
        <v>18</v>
      </c>
      <c r="P52" t="s">
        <v>18</v>
      </c>
    </row>
    <row r="53" spans="1:16" x14ac:dyDescent="0.3">
      <c r="A53" t="s">
        <v>44</v>
      </c>
      <c r="B53">
        <v>2023</v>
      </c>
      <c r="C53">
        <v>1435508</v>
      </c>
      <c r="D53" t="s">
        <v>21</v>
      </c>
      <c r="E53">
        <v>6035</v>
      </c>
      <c r="F53" s="3">
        <v>12610226000</v>
      </c>
      <c r="G53" s="3">
        <v>4080033000</v>
      </c>
      <c r="H53" s="3">
        <v>605092000</v>
      </c>
      <c r="I53" s="3">
        <v>106250000</v>
      </c>
      <c r="J53" s="3">
        <v>120568000</v>
      </c>
      <c r="K53" s="3">
        <v>8.4257014902032676E-3</v>
      </c>
      <c r="L53" s="3">
        <v>0.17559313294507281</v>
      </c>
      <c r="M53" s="3">
        <v>20.84017967515684</v>
      </c>
      <c r="N53" t="s">
        <v>18</v>
      </c>
      <c r="O53" t="s">
        <v>18</v>
      </c>
      <c r="P53" t="s">
        <v>18</v>
      </c>
    </row>
    <row r="54" spans="1:16" x14ac:dyDescent="0.3">
      <c r="A54" t="s">
        <v>44</v>
      </c>
      <c r="B54">
        <v>2023</v>
      </c>
      <c r="C54">
        <v>1978811</v>
      </c>
      <c r="D54" t="s">
        <v>47</v>
      </c>
      <c r="E54">
        <v>6036</v>
      </c>
      <c r="F54" s="3">
        <v>418904000</v>
      </c>
      <c r="G54" s="3">
        <v>368967000</v>
      </c>
      <c r="H54" s="3">
        <v>154678000</v>
      </c>
      <c r="I54" s="3">
        <v>3688000</v>
      </c>
      <c r="J54" s="3">
        <v>838000</v>
      </c>
      <c r="K54" s="3">
        <v>8.8039264366059997E-3</v>
      </c>
      <c r="L54" s="3">
        <v>2.3843080463931521E-2</v>
      </c>
      <c r="M54" s="3">
        <v>2.7082325864053058</v>
      </c>
      <c r="N54" t="s">
        <v>18</v>
      </c>
      <c r="O54" t="s">
        <v>18</v>
      </c>
      <c r="P54" t="s">
        <v>18</v>
      </c>
    </row>
    <row r="55" spans="1:16" x14ac:dyDescent="0.3">
      <c r="A55" t="s">
        <v>44</v>
      </c>
      <c r="B55">
        <v>2023</v>
      </c>
      <c r="C55">
        <v>1748945</v>
      </c>
      <c r="D55" t="s">
        <v>38</v>
      </c>
      <c r="E55">
        <v>6199</v>
      </c>
      <c r="F55" s="3">
        <v>13362000</v>
      </c>
      <c r="G55" s="3">
        <v>0</v>
      </c>
      <c r="I55" s="3">
        <v>-3288000</v>
      </c>
      <c r="K55" s="3">
        <v>-0.24607094746295469</v>
      </c>
      <c r="N55" t="s">
        <v>33</v>
      </c>
      <c r="O55" t="s">
        <v>18</v>
      </c>
      <c r="P55" t="s">
        <v>18</v>
      </c>
    </row>
    <row r="56" spans="1:16" x14ac:dyDescent="0.3">
      <c r="A56" t="s">
        <v>44</v>
      </c>
      <c r="B56">
        <v>2023</v>
      </c>
      <c r="C56">
        <v>1828588</v>
      </c>
      <c r="D56" t="s">
        <v>35</v>
      </c>
      <c r="E56">
        <v>6022</v>
      </c>
      <c r="F56" s="3">
        <v>4398456000</v>
      </c>
      <c r="G56" s="3">
        <v>3681474000</v>
      </c>
      <c r="H56" s="3">
        <v>1318845000</v>
      </c>
      <c r="I56" s="3">
        <v>116160000</v>
      </c>
      <c r="J56" s="3">
        <v>60361000</v>
      </c>
      <c r="K56" s="3">
        <v>2.6409267251962961E-2</v>
      </c>
      <c r="L56" s="3">
        <v>8.8077067434004758E-2</v>
      </c>
      <c r="M56" s="3">
        <v>3.3350818329674832</v>
      </c>
      <c r="N56" t="s">
        <v>18</v>
      </c>
      <c r="O56" t="s">
        <v>18</v>
      </c>
      <c r="P56" t="s">
        <v>18</v>
      </c>
    </row>
    <row r="57" spans="1:16" x14ac:dyDescent="0.3">
      <c r="A57" t="s">
        <v>44</v>
      </c>
      <c r="B57">
        <v>2023</v>
      </c>
      <c r="C57">
        <v>1500375</v>
      </c>
      <c r="D57" t="s">
        <v>48</v>
      </c>
      <c r="E57">
        <v>6035</v>
      </c>
      <c r="F57" s="3">
        <v>1365537000</v>
      </c>
      <c r="G57" s="3">
        <v>1148506000</v>
      </c>
      <c r="H57" s="3">
        <v>311228000</v>
      </c>
      <c r="I57" s="3">
        <v>31731000</v>
      </c>
      <c r="J57" s="3">
        <v>7516000</v>
      </c>
      <c r="K57" s="3">
        <v>2.3237012252322709E-2</v>
      </c>
      <c r="L57" s="3">
        <v>0.10195419435269321</v>
      </c>
      <c r="M57" s="3">
        <v>4.3875775958461318</v>
      </c>
      <c r="N57" t="s">
        <v>18</v>
      </c>
      <c r="O57" t="s">
        <v>18</v>
      </c>
      <c r="P57" t="s">
        <v>18</v>
      </c>
    </row>
    <row r="58" spans="1:16" x14ac:dyDescent="0.3">
      <c r="A58" t="s">
        <v>44</v>
      </c>
      <c r="B58">
        <v>2023</v>
      </c>
      <c r="C58">
        <v>1337068</v>
      </c>
      <c r="D58" t="s">
        <v>23</v>
      </c>
      <c r="E58">
        <v>6035</v>
      </c>
      <c r="F58" s="3">
        <v>1705835000</v>
      </c>
      <c r="G58" s="3">
        <v>1502543000</v>
      </c>
      <c r="H58" s="3">
        <v>601866000</v>
      </c>
      <c r="I58" s="3">
        <v>31256000</v>
      </c>
      <c r="J58" s="3">
        <v>12818000</v>
      </c>
      <c r="K58" s="3">
        <v>1.8322991379588299E-2</v>
      </c>
      <c r="L58" s="3">
        <v>5.1931825356474698E-2</v>
      </c>
      <c r="M58" s="3">
        <v>2.8342438350064629</v>
      </c>
      <c r="N58" t="s">
        <v>18</v>
      </c>
      <c r="O58" t="s">
        <v>18</v>
      </c>
      <c r="P58" t="s">
        <v>18</v>
      </c>
    </row>
    <row r="59" spans="1:16" x14ac:dyDescent="0.3">
      <c r="A59" t="s">
        <v>44</v>
      </c>
      <c r="B59">
        <v>2023</v>
      </c>
      <c r="C59">
        <v>1967306</v>
      </c>
      <c r="D59" t="s">
        <v>49</v>
      </c>
      <c r="E59">
        <v>6036</v>
      </c>
      <c r="F59" s="3">
        <v>311929364</v>
      </c>
      <c r="G59" s="3">
        <v>275088409</v>
      </c>
      <c r="H59" s="3">
        <v>-1615652626</v>
      </c>
      <c r="I59" s="3">
        <v>3426292</v>
      </c>
      <c r="J59" s="3">
        <v>864751</v>
      </c>
      <c r="K59" s="3">
        <v>1.098419192109147E-2</v>
      </c>
      <c r="L59" s="3">
        <v>-2.1206860589102899E-3</v>
      </c>
      <c r="M59" s="3">
        <v>-0.1930670980755736</v>
      </c>
      <c r="N59" t="s">
        <v>18</v>
      </c>
      <c r="O59" t="s">
        <v>18</v>
      </c>
      <c r="P59" t="s">
        <v>33</v>
      </c>
    </row>
    <row r="60" spans="1:16" x14ac:dyDescent="0.3">
      <c r="A60" t="s">
        <v>44</v>
      </c>
      <c r="B60">
        <v>2023</v>
      </c>
      <c r="C60">
        <v>924095</v>
      </c>
      <c r="D60" t="s">
        <v>41</v>
      </c>
      <c r="E60">
        <v>6199</v>
      </c>
      <c r="F60" s="3">
        <v>819966</v>
      </c>
      <c r="G60" s="3">
        <v>469235</v>
      </c>
      <c r="H60" s="3">
        <v>284814</v>
      </c>
      <c r="I60" s="3">
        <v>-3377390</v>
      </c>
      <c r="J60" s="3">
        <v>110193</v>
      </c>
      <c r="K60" s="3">
        <v>-4.1189390779617687</v>
      </c>
      <c r="L60" s="3">
        <v>-11.858230283623699</v>
      </c>
      <c r="M60" s="3">
        <v>2.8789525795782511</v>
      </c>
      <c r="N60" t="s">
        <v>33</v>
      </c>
      <c r="O60" t="s">
        <v>33</v>
      </c>
      <c r="P60" t="s">
        <v>18</v>
      </c>
    </row>
    <row r="61" spans="1:16" x14ac:dyDescent="0.3">
      <c r="A61" t="s">
        <v>44</v>
      </c>
      <c r="B61">
        <v>2023</v>
      </c>
      <c r="C61">
        <v>924396</v>
      </c>
      <c r="D61" t="s">
        <v>50</v>
      </c>
      <c r="E61">
        <v>6199</v>
      </c>
      <c r="F61" s="3">
        <v>5847199</v>
      </c>
      <c r="G61" s="3">
        <v>225766</v>
      </c>
      <c r="H61" s="3">
        <v>10929872</v>
      </c>
      <c r="I61" s="3">
        <v>-19965292</v>
      </c>
      <c r="J61" s="3">
        <v>11381</v>
      </c>
      <c r="K61" s="3">
        <v>-3.4145053041635829</v>
      </c>
      <c r="L61" s="3">
        <v>-1.826672078135956</v>
      </c>
      <c r="M61" s="3">
        <v>0.53497415157286377</v>
      </c>
      <c r="N61" t="s">
        <v>33</v>
      </c>
      <c r="O61" t="s">
        <v>33</v>
      </c>
      <c r="P61" t="s">
        <v>33</v>
      </c>
    </row>
    <row r="62" spans="1:16" x14ac:dyDescent="0.3">
      <c r="A62" t="s">
        <v>44</v>
      </c>
      <c r="B62">
        <v>2023</v>
      </c>
      <c r="C62">
        <v>907471</v>
      </c>
      <c r="D62" t="s">
        <v>42</v>
      </c>
      <c r="E62">
        <v>6021</v>
      </c>
      <c r="F62" s="3">
        <v>43386992000</v>
      </c>
      <c r="G62" s="3">
        <v>13069146000</v>
      </c>
      <c r="H62" s="3">
        <v>2656135000</v>
      </c>
      <c r="I62" s="3">
        <v>1385126000</v>
      </c>
      <c r="J62" s="3">
        <v>56653000</v>
      </c>
      <c r="K62" s="3">
        <v>3.1924914269235348E-2</v>
      </c>
      <c r="L62" s="3">
        <v>0.52148177709340826</v>
      </c>
      <c r="M62" s="3">
        <v>16.334633593548521</v>
      </c>
      <c r="N62" t="s">
        <v>18</v>
      </c>
      <c r="O62" t="s">
        <v>33</v>
      </c>
      <c r="P62" t="s">
        <v>18</v>
      </c>
    </row>
    <row r="63" spans="1:16" x14ac:dyDescent="0.3">
      <c r="A63" t="s">
        <v>44</v>
      </c>
      <c r="B63">
        <v>2023</v>
      </c>
      <c r="C63">
        <v>1938109</v>
      </c>
      <c r="D63" t="s">
        <v>51</v>
      </c>
      <c r="E63">
        <v>6199</v>
      </c>
      <c r="F63" s="3">
        <v>11056024</v>
      </c>
      <c r="G63" s="3">
        <v>4643703</v>
      </c>
      <c r="H63" s="3">
        <v>26661552</v>
      </c>
      <c r="I63" s="3">
        <v>-11238196</v>
      </c>
      <c r="J63" s="3">
        <v>150518</v>
      </c>
      <c r="K63" s="3">
        <v>-1.0164771711783549</v>
      </c>
      <c r="L63" s="3">
        <v>-0.42151319623103711</v>
      </c>
      <c r="M63" s="3">
        <v>0.41468043570756868</v>
      </c>
      <c r="N63" t="s">
        <v>33</v>
      </c>
      <c r="O63" t="s">
        <v>18</v>
      </c>
      <c r="P63" t="s">
        <v>33</v>
      </c>
    </row>
    <row r="64" spans="1:16" x14ac:dyDescent="0.3">
      <c r="A64" t="s">
        <v>44</v>
      </c>
      <c r="B64">
        <v>2023</v>
      </c>
      <c r="C64">
        <v>1381668</v>
      </c>
      <c r="D64" t="s">
        <v>28</v>
      </c>
      <c r="E64">
        <v>6035</v>
      </c>
      <c r="F64" s="3">
        <v>36500319000</v>
      </c>
      <c r="G64" s="3">
        <v>28956919000</v>
      </c>
      <c r="H64" s="3">
        <v>17960435000</v>
      </c>
      <c r="I64" s="3">
        <v>692466000</v>
      </c>
      <c r="J64" s="3">
        <v>844597000</v>
      </c>
      <c r="K64" s="3">
        <v>1.8971505427116949E-2</v>
      </c>
      <c r="L64" s="3">
        <v>3.8555079540111357E-2</v>
      </c>
      <c r="M64" s="3">
        <v>2.0322625259354798</v>
      </c>
      <c r="N64" t="s">
        <v>18</v>
      </c>
      <c r="O64" t="s">
        <v>18</v>
      </c>
      <c r="P64" t="s">
        <v>18</v>
      </c>
    </row>
    <row r="65" spans="1:16" x14ac:dyDescent="0.3">
      <c r="A65" t="s">
        <v>44</v>
      </c>
      <c r="B65">
        <v>2023</v>
      </c>
      <c r="C65">
        <v>1046050</v>
      </c>
      <c r="D65" t="s">
        <v>29</v>
      </c>
      <c r="E65">
        <v>6036</v>
      </c>
      <c r="F65" s="3">
        <v>4152240000</v>
      </c>
      <c r="G65" s="3">
        <v>3248771000</v>
      </c>
      <c r="H65" s="3">
        <v>2142303000</v>
      </c>
      <c r="I65" s="3">
        <v>285621000</v>
      </c>
      <c r="J65" s="3">
        <v>31635000</v>
      </c>
      <c r="K65" s="3">
        <v>6.8787208831859431E-2</v>
      </c>
      <c r="L65" s="3">
        <v>0.1333242776582024</v>
      </c>
      <c r="M65" s="3">
        <v>1.938213221939193</v>
      </c>
      <c r="N65" t="s">
        <v>18</v>
      </c>
      <c r="O65" t="s">
        <v>18</v>
      </c>
      <c r="P65" t="s">
        <v>18</v>
      </c>
    </row>
    <row r="66" spans="1:16" x14ac:dyDescent="0.3">
      <c r="A66" t="s">
        <v>44</v>
      </c>
      <c r="B66">
        <v>2023</v>
      </c>
      <c r="C66">
        <v>1913838</v>
      </c>
      <c r="D66" t="s">
        <v>52</v>
      </c>
      <c r="E66">
        <v>6036</v>
      </c>
      <c r="F66" s="3">
        <v>354169676</v>
      </c>
      <c r="G66" s="3">
        <v>253666746</v>
      </c>
      <c r="H66" s="3">
        <v>213020164</v>
      </c>
      <c r="I66" s="3">
        <v>-1654438</v>
      </c>
      <c r="J66" s="3">
        <v>1104826</v>
      </c>
      <c r="K66" s="3">
        <v>-4.6713146610552836E-3</v>
      </c>
      <c r="L66" s="3">
        <v>-7.7665793178151908E-3</v>
      </c>
      <c r="M66" s="3">
        <v>1.6626110380799439</v>
      </c>
      <c r="N66" t="s">
        <v>18</v>
      </c>
      <c r="O66" t="s">
        <v>18</v>
      </c>
      <c r="P66" t="s">
        <v>18</v>
      </c>
    </row>
    <row r="67" spans="1:16" x14ac:dyDescent="0.3">
      <c r="A67" t="s">
        <v>44</v>
      </c>
      <c r="B67">
        <v>2023</v>
      </c>
      <c r="C67">
        <v>936528</v>
      </c>
      <c r="D67" t="s">
        <v>53</v>
      </c>
      <c r="E67">
        <v>6021</v>
      </c>
      <c r="F67" s="3">
        <v>47956244000</v>
      </c>
      <c r="G67" s="3">
        <v>38554872000</v>
      </c>
      <c r="H67" s="3">
        <v>22382452000</v>
      </c>
      <c r="I67" s="3">
        <v>2032113000</v>
      </c>
      <c r="J67" s="3">
        <v>510992000</v>
      </c>
      <c r="K67" s="3">
        <v>4.2374315219515533E-2</v>
      </c>
      <c r="L67" s="3">
        <v>9.0790454951048261E-2</v>
      </c>
      <c r="M67" s="3">
        <v>2.1425822336176572</v>
      </c>
      <c r="N67" t="s">
        <v>18</v>
      </c>
      <c r="O67" t="s">
        <v>18</v>
      </c>
      <c r="P67" t="s">
        <v>18</v>
      </c>
    </row>
    <row r="68" spans="1:16" x14ac:dyDescent="0.3">
      <c r="A68" t="s">
        <v>54</v>
      </c>
      <c r="B68">
        <v>2024</v>
      </c>
      <c r="C68">
        <v>1829311</v>
      </c>
      <c r="D68" t="s">
        <v>37</v>
      </c>
      <c r="E68">
        <v>6199</v>
      </c>
      <c r="F68" s="3">
        <v>15486335</v>
      </c>
      <c r="G68" s="3">
        <v>5140971</v>
      </c>
      <c r="H68" s="3">
        <v>35499138</v>
      </c>
      <c r="I68" s="3">
        <v>-11514774</v>
      </c>
      <c r="K68" s="3">
        <v>-0.7435441632897648</v>
      </c>
      <c r="L68" s="3">
        <v>-0.32436770718207297</v>
      </c>
      <c r="M68" s="3">
        <v>0.43624538150757353</v>
      </c>
      <c r="N68" t="s">
        <v>33</v>
      </c>
      <c r="O68" t="s">
        <v>18</v>
      </c>
      <c r="P68" t="s">
        <v>33</v>
      </c>
    </row>
    <row r="69" spans="1:16" x14ac:dyDescent="0.3">
      <c r="A69" t="s">
        <v>54</v>
      </c>
      <c r="B69">
        <v>2024</v>
      </c>
      <c r="C69">
        <v>1932213</v>
      </c>
      <c r="D69" t="s">
        <v>55</v>
      </c>
      <c r="E69">
        <v>6199</v>
      </c>
      <c r="F69" s="3">
        <v>181681</v>
      </c>
      <c r="G69" s="3">
        <v>378959</v>
      </c>
      <c r="H69" s="3">
        <v>174528</v>
      </c>
      <c r="I69" s="3">
        <v>-1688028</v>
      </c>
      <c r="K69" s="3">
        <v>-9.2911641833763579</v>
      </c>
      <c r="L69" s="3">
        <v>-9.6719609460946092</v>
      </c>
      <c r="M69" s="3">
        <v>1.040984827649432</v>
      </c>
      <c r="N69" t="s">
        <v>33</v>
      </c>
      <c r="O69" t="s">
        <v>33</v>
      </c>
      <c r="P69" t="s">
        <v>18</v>
      </c>
    </row>
    <row r="70" spans="1:16" x14ac:dyDescent="0.3">
      <c r="A70" t="s">
        <v>54</v>
      </c>
      <c r="B70">
        <v>2024</v>
      </c>
      <c r="C70">
        <v>1490906</v>
      </c>
      <c r="D70" t="s">
        <v>17</v>
      </c>
      <c r="E70">
        <v>6035</v>
      </c>
      <c r="F70" s="3">
        <v>21781777000</v>
      </c>
      <c r="G70" s="3">
        <v>17629129000</v>
      </c>
      <c r="H70" s="3">
        <v>10906462000</v>
      </c>
      <c r="I70" s="3">
        <v>62412000</v>
      </c>
      <c r="K70" s="3">
        <v>2.8653309599120402E-3</v>
      </c>
      <c r="L70" s="3">
        <v>5.7224790220696681E-3</v>
      </c>
      <c r="M70" s="3">
        <v>1.9971441701259309</v>
      </c>
      <c r="N70" t="s">
        <v>18</v>
      </c>
      <c r="O70" t="s">
        <v>18</v>
      </c>
      <c r="P70" t="s">
        <v>18</v>
      </c>
    </row>
    <row r="71" spans="1:16" x14ac:dyDescent="0.3">
      <c r="A71" t="s">
        <v>54</v>
      </c>
      <c r="B71">
        <v>2024</v>
      </c>
      <c r="C71">
        <v>827876</v>
      </c>
      <c r="D71" t="s">
        <v>46</v>
      </c>
      <c r="E71">
        <v>6199</v>
      </c>
      <c r="F71" s="3">
        <v>2724240000</v>
      </c>
      <c r="G71" s="3">
        <v>372082000</v>
      </c>
      <c r="H71" s="3">
        <v>6969701000</v>
      </c>
      <c r="I71" s="3">
        <v>-819091000</v>
      </c>
      <c r="J71" s="3">
        <v>6510000</v>
      </c>
      <c r="K71" s="3">
        <v>-0.30066770915925167</v>
      </c>
      <c r="L71" s="3">
        <v>-0.11752168421572171</v>
      </c>
      <c r="M71" s="3">
        <v>0.39086899136706149</v>
      </c>
      <c r="N71" t="s">
        <v>33</v>
      </c>
      <c r="O71" t="s">
        <v>18</v>
      </c>
      <c r="P71" t="s">
        <v>33</v>
      </c>
    </row>
    <row r="72" spans="1:16" x14ac:dyDescent="0.3">
      <c r="A72" t="s">
        <v>54</v>
      </c>
      <c r="B72">
        <v>2024</v>
      </c>
      <c r="C72">
        <v>27673</v>
      </c>
      <c r="D72" t="s">
        <v>19</v>
      </c>
      <c r="E72">
        <v>6153</v>
      </c>
      <c r="F72" s="3">
        <v>122920800000</v>
      </c>
      <c r="G72" s="3">
        <v>109499800000</v>
      </c>
      <c r="H72" s="3">
        <v>11417200000</v>
      </c>
      <c r="I72" s="3">
        <v>1847300000</v>
      </c>
      <c r="J72" s="3">
        <v>5260800000</v>
      </c>
      <c r="K72" s="3">
        <v>1.502837599494959E-2</v>
      </c>
      <c r="L72" s="3">
        <v>0.16179974074203829</v>
      </c>
      <c r="M72" s="3">
        <v>10.76628245103878</v>
      </c>
      <c r="N72" t="s">
        <v>18</v>
      </c>
      <c r="O72" t="s">
        <v>18</v>
      </c>
      <c r="P72" t="s">
        <v>18</v>
      </c>
    </row>
    <row r="73" spans="1:16" x14ac:dyDescent="0.3">
      <c r="A73" t="s">
        <v>54</v>
      </c>
      <c r="B73">
        <v>2024</v>
      </c>
      <c r="C73">
        <v>1382230</v>
      </c>
      <c r="D73" t="s">
        <v>20</v>
      </c>
      <c r="E73">
        <v>6036</v>
      </c>
      <c r="F73" s="3">
        <v>4931416000</v>
      </c>
      <c r="G73" s="3">
        <v>4030834000</v>
      </c>
      <c r="H73" s="3">
        <v>1757169000</v>
      </c>
      <c r="I73" s="3">
        <v>135080000</v>
      </c>
      <c r="K73" s="3">
        <v>2.73917268387011E-2</v>
      </c>
      <c r="L73" s="3">
        <v>7.6873653018007942E-2</v>
      </c>
      <c r="M73" s="3">
        <v>2.8064551559923951</v>
      </c>
      <c r="N73" t="s">
        <v>18</v>
      </c>
      <c r="O73" t="s">
        <v>18</v>
      </c>
      <c r="P73" t="s">
        <v>18</v>
      </c>
    </row>
    <row r="74" spans="1:16" x14ac:dyDescent="0.3">
      <c r="A74" t="s">
        <v>54</v>
      </c>
      <c r="B74">
        <v>2024</v>
      </c>
      <c r="C74">
        <v>1435508</v>
      </c>
      <c r="D74" t="s">
        <v>21</v>
      </c>
      <c r="E74">
        <v>6035</v>
      </c>
      <c r="F74" s="3">
        <v>14092219000</v>
      </c>
      <c r="G74" s="3">
        <v>4411126000</v>
      </c>
      <c r="H74" s="3">
        <v>656192000</v>
      </c>
      <c r="J74" s="3">
        <v>232246000</v>
      </c>
      <c r="M74" s="3">
        <v>21.475755571540041</v>
      </c>
      <c r="N74" t="s">
        <v>18</v>
      </c>
      <c r="O74" t="s">
        <v>18</v>
      </c>
      <c r="P74" t="s">
        <v>18</v>
      </c>
    </row>
    <row r="75" spans="1:16" x14ac:dyDescent="0.3">
      <c r="A75" t="s">
        <v>54</v>
      </c>
      <c r="B75">
        <v>2024</v>
      </c>
      <c r="C75">
        <v>1978811</v>
      </c>
      <c r="D75" t="s">
        <v>47</v>
      </c>
      <c r="E75">
        <v>6036</v>
      </c>
      <c r="F75" s="3">
        <v>403145000</v>
      </c>
      <c r="G75" s="3">
        <v>345272000</v>
      </c>
      <c r="H75" s="3">
        <v>164668000</v>
      </c>
      <c r="I75" s="3">
        <v>1712000</v>
      </c>
      <c r="K75" s="3">
        <v>4.246611020848578E-3</v>
      </c>
      <c r="L75" s="3">
        <v>1.039667694998421E-2</v>
      </c>
      <c r="M75" s="3">
        <v>2.4482291641363232</v>
      </c>
      <c r="N75" t="s">
        <v>18</v>
      </c>
      <c r="O75" t="s">
        <v>18</v>
      </c>
      <c r="P75" t="s">
        <v>18</v>
      </c>
    </row>
    <row r="76" spans="1:16" x14ac:dyDescent="0.3">
      <c r="A76" t="s">
        <v>54</v>
      </c>
      <c r="B76">
        <v>2024</v>
      </c>
      <c r="C76">
        <v>1297341</v>
      </c>
      <c r="D76" t="s">
        <v>56</v>
      </c>
      <c r="E76">
        <v>6035</v>
      </c>
      <c r="F76" s="3">
        <v>822779000</v>
      </c>
      <c r="G76" s="3">
        <v>625282000</v>
      </c>
      <c r="H76" s="3">
        <v>599476000</v>
      </c>
      <c r="I76" s="3">
        <v>-4085000</v>
      </c>
      <c r="K76" s="3">
        <v>-4.9648812135457999E-3</v>
      </c>
      <c r="L76" s="3">
        <v>-6.8142844751082612E-3</v>
      </c>
      <c r="M76" s="3">
        <v>1.3724969806964751</v>
      </c>
      <c r="N76" t="s">
        <v>18</v>
      </c>
      <c r="O76" t="s">
        <v>18</v>
      </c>
      <c r="P76" t="s">
        <v>18</v>
      </c>
    </row>
    <row r="77" spans="1:16" x14ac:dyDescent="0.3">
      <c r="A77" t="s">
        <v>54</v>
      </c>
      <c r="B77">
        <v>2024</v>
      </c>
      <c r="C77">
        <v>1337068</v>
      </c>
      <c r="D77" t="s">
        <v>23</v>
      </c>
      <c r="E77">
        <v>6035</v>
      </c>
      <c r="F77" s="3">
        <v>1859210000</v>
      </c>
      <c r="G77" s="3">
        <v>1643872000</v>
      </c>
      <c r="H77" s="3">
        <v>627680000</v>
      </c>
      <c r="I77" s="3">
        <v>30984000</v>
      </c>
      <c r="K77" s="3">
        <v>1.666514272190877E-2</v>
      </c>
      <c r="L77" s="3">
        <v>4.9362732602600053E-2</v>
      </c>
      <c r="M77" s="3">
        <v>2.962034794799898</v>
      </c>
      <c r="N77" t="s">
        <v>18</v>
      </c>
      <c r="O77" t="s">
        <v>18</v>
      </c>
      <c r="P77" t="s">
        <v>18</v>
      </c>
    </row>
    <row r="78" spans="1:16" x14ac:dyDescent="0.3">
      <c r="A78" t="s">
        <v>54</v>
      </c>
      <c r="B78">
        <v>2024</v>
      </c>
      <c r="C78">
        <v>924396</v>
      </c>
      <c r="D78" t="s">
        <v>50</v>
      </c>
      <c r="E78">
        <v>6199</v>
      </c>
      <c r="F78" s="3">
        <v>31488</v>
      </c>
      <c r="G78" s="3">
        <v>592208</v>
      </c>
      <c r="H78" s="3">
        <v>10316778</v>
      </c>
      <c r="I78" s="3">
        <v>-16408256</v>
      </c>
      <c r="K78" s="3">
        <v>-521.09552845528458</v>
      </c>
      <c r="L78" s="3">
        <v>-1.590443838182813</v>
      </c>
      <c r="M78" s="3">
        <v>3.0521156896077439E-3</v>
      </c>
      <c r="N78" t="s">
        <v>33</v>
      </c>
      <c r="O78" t="s">
        <v>33</v>
      </c>
      <c r="P78" t="s">
        <v>33</v>
      </c>
    </row>
    <row r="79" spans="1:16" x14ac:dyDescent="0.3">
      <c r="A79" t="s">
        <v>54</v>
      </c>
      <c r="B79">
        <v>2024</v>
      </c>
      <c r="C79">
        <v>907471</v>
      </c>
      <c r="D79" t="s">
        <v>42</v>
      </c>
      <c r="E79">
        <v>6021</v>
      </c>
      <c r="F79" s="3">
        <v>45288068000</v>
      </c>
      <c r="G79" s="3">
        <v>13675822000</v>
      </c>
      <c r="H79" s="3">
        <v>3035050000</v>
      </c>
      <c r="I79" s="3">
        <v>1465074000</v>
      </c>
      <c r="K79" s="3">
        <v>3.2350110408772573E-2</v>
      </c>
      <c r="L79" s="3">
        <v>0.48271824187410423</v>
      </c>
      <c r="M79" s="3">
        <v>14.92168761634899</v>
      </c>
      <c r="N79" t="s">
        <v>18</v>
      </c>
      <c r="O79" t="s">
        <v>18</v>
      </c>
      <c r="P79" t="s">
        <v>18</v>
      </c>
    </row>
    <row r="80" spans="1:16" x14ac:dyDescent="0.3">
      <c r="A80" t="s">
        <v>54</v>
      </c>
      <c r="B80">
        <v>2024</v>
      </c>
      <c r="C80">
        <v>1938109</v>
      </c>
      <c r="D80" t="s">
        <v>51</v>
      </c>
      <c r="E80">
        <v>6199</v>
      </c>
      <c r="F80" s="3">
        <v>8725530</v>
      </c>
      <c r="G80" s="3">
        <v>5590281</v>
      </c>
      <c r="H80" s="3">
        <v>15523274</v>
      </c>
      <c r="I80" s="3">
        <v>-13823392</v>
      </c>
      <c r="K80" s="3">
        <v>-1.584246687593762</v>
      </c>
      <c r="L80" s="3">
        <v>-0.89049462117334266</v>
      </c>
      <c r="M80" s="3">
        <v>0.56209340890330228</v>
      </c>
      <c r="N80" t="s">
        <v>33</v>
      </c>
      <c r="O80" t="s">
        <v>33</v>
      </c>
      <c r="P80" t="s">
        <v>33</v>
      </c>
    </row>
    <row r="81" spans="1:16" x14ac:dyDescent="0.3">
      <c r="A81" t="s">
        <v>54</v>
      </c>
      <c r="B81">
        <v>2023</v>
      </c>
      <c r="C81">
        <v>1325670</v>
      </c>
      <c r="D81" t="s">
        <v>57</v>
      </c>
      <c r="E81">
        <v>6022</v>
      </c>
      <c r="F81" s="3">
        <v>15806362000</v>
      </c>
      <c r="G81" s="3">
        <v>6830931000</v>
      </c>
      <c r="H81" s="3">
        <v>1530790000</v>
      </c>
      <c r="I81" s="3">
        <v>75390000</v>
      </c>
      <c r="J81" s="3">
        <v>250028000</v>
      </c>
      <c r="K81" s="3">
        <v>4.769598469274587E-3</v>
      </c>
      <c r="L81" s="3">
        <v>4.9249080540113267E-2</v>
      </c>
      <c r="M81" s="3">
        <v>10.32562402419666</v>
      </c>
      <c r="N81" t="s">
        <v>18</v>
      </c>
      <c r="O81" t="s">
        <v>18</v>
      </c>
      <c r="P81" t="s">
        <v>18</v>
      </c>
    </row>
    <row r="82" spans="1:16" x14ac:dyDescent="0.3">
      <c r="A82" t="s">
        <v>54</v>
      </c>
      <c r="B82">
        <v>2024</v>
      </c>
      <c r="C82">
        <v>1951276</v>
      </c>
      <c r="D82" t="s">
        <v>58</v>
      </c>
      <c r="E82">
        <v>6036</v>
      </c>
      <c r="F82" s="3">
        <v>1871813000</v>
      </c>
      <c r="G82" s="3">
        <v>1350763000</v>
      </c>
      <c r="H82" s="3">
        <v>1079011000</v>
      </c>
      <c r="I82" s="3">
        <v>-55556000</v>
      </c>
      <c r="K82" s="3">
        <v>-2.9680315287905362E-2</v>
      </c>
      <c r="L82" s="3">
        <v>-5.1487890299542823E-2</v>
      </c>
      <c r="M82" s="3">
        <v>1.7347487653045239</v>
      </c>
      <c r="N82" t="s">
        <v>18</v>
      </c>
      <c r="O82" t="s">
        <v>18</v>
      </c>
      <c r="P82" t="s">
        <v>18</v>
      </c>
    </row>
    <row r="83" spans="1:16" x14ac:dyDescent="0.3">
      <c r="A83" t="s">
        <v>54</v>
      </c>
      <c r="B83">
        <v>2024</v>
      </c>
      <c r="C83">
        <v>1437750</v>
      </c>
      <c r="D83" t="s">
        <v>59</v>
      </c>
      <c r="E83">
        <v>6199</v>
      </c>
      <c r="F83" s="3">
        <v>504865</v>
      </c>
      <c r="G83" s="3">
        <v>1888482</v>
      </c>
      <c r="H83" s="3">
        <v>-1299454</v>
      </c>
      <c r="I83" s="3">
        <v>-8283244</v>
      </c>
      <c r="J83" s="3">
        <v>28807</v>
      </c>
      <c r="K83" s="3">
        <v>-16.406849355768369</v>
      </c>
      <c r="L83" s="3">
        <v>6.3744034032755286</v>
      </c>
      <c r="M83" s="3">
        <v>-0.38852087107354322</v>
      </c>
      <c r="N83" t="s">
        <v>33</v>
      </c>
      <c r="O83" t="s">
        <v>33</v>
      </c>
      <c r="P83" t="s">
        <v>33</v>
      </c>
    </row>
    <row r="84" spans="1:16" x14ac:dyDescent="0.3">
      <c r="A84" t="s">
        <v>54</v>
      </c>
      <c r="B84">
        <v>2024</v>
      </c>
      <c r="C84">
        <v>1381668</v>
      </c>
      <c r="D84" t="s">
        <v>28</v>
      </c>
      <c r="E84">
        <v>6035</v>
      </c>
      <c r="F84" s="3">
        <v>37820461000</v>
      </c>
      <c r="G84" s="3">
        <v>30240491000</v>
      </c>
      <c r="H84" s="3">
        <v>18548145000</v>
      </c>
      <c r="I84" s="3">
        <v>688209000</v>
      </c>
      <c r="K84" s="3">
        <v>1.8196737474987418E-2</v>
      </c>
      <c r="L84" s="3">
        <v>3.7103926026025781E-2</v>
      </c>
      <c r="M84" s="3">
        <v>2.039042772201749</v>
      </c>
      <c r="N84" t="s">
        <v>18</v>
      </c>
      <c r="O84" t="s">
        <v>18</v>
      </c>
      <c r="P84" t="s">
        <v>18</v>
      </c>
    </row>
    <row r="85" spans="1:16" x14ac:dyDescent="0.3">
      <c r="A85" t="s">
        <v>54</v>
      </c>
      <c r="B85">
        <v>2024</v>
      </c>
      <c r="C85">
        <v>1046050</v>
      </c>
      <c r="D85" t="s">
        <v>29</v>
      </c>
      <c r="E85">
        <v>6036</v>
      </c>
      <c r="F85" s="3">
        <v>4242139000</v>
      </c>
      <c r="G85" s="3">
        <v>3284894000</v>
      </c>
      <c r="H85" s="3">
        <v>2516769000</v>
      </c>
      <c r="I85" s="3">
        <v>276404000</v>
      </c>
      <c r="K85" s="3">
        <v>6.5156752289352138E-2</v>
      </c>
      <c r="L85" s="3">
        <v>0.10982493824423301</v>
      </c>
      <c r="M85" s="3">
        <v>1.685549607453048</v>
      </c>
      <c r="N85" t="s">
        <v>18</v>
      </c>
      <c r="O85" t="s">
        <v>18</v>
      </c>
      <c r="P85" t="s">
        <v>18</v>
      </c>
    </row>
    <row r="86" spans="1:16" x14ac:dyDescent="0.3">
      <c r="A86" t="s">
        <v>54</v>
      </c>
      <c r="B86">
        <v>2023</v>
      </c>
      <c r="C86">
        <v>846377</v>
      </c>
      <c r="D86" t="s">
        <v>60</v>
      </c>
      <c r="E86">
        <v>6153</v>
      </c>
      <c r="F86" s="3">
        <v>635851</v>
      </c>
      <c r="G86" s="3">
        <v>2306961</v>
      </c>
      <c r="H86" s="3">
        <v>-3680254</v>
      </c>
      <c r="I86" s="3">
        <v>-1988494</v>
      </c>
      <c r="J86" s="3">
        <v>65730</v>
      </c>
      <c r="K86" s="3">
        <v>-3.1272955456545639</v>
      </c>
      <c r="L86" s="3">
        <v>0.54031433699956577</v>
      </c>
      <c r="M86" s="3">
        <v>-0.1727736726867222</v>
      </c>
      <c r="N86" t="s">
        <v>33</v>
      </c>
      <c r="O86" t="s">
        <v>33</v>
      </c>
      <c r="P86" t="s">
        <v>33</v>
      </c>
    </row>
    <row r="87" spans="1:16" x14ac:dyDescent="0.3">
      <c r="A87" t="s">
        <v>54</v>
      </c>
      <c r="B87">
        <v>2024</v>
      </c>
      <c r="C87">
        <v>936528</v>
      </c>
      <c r="D87" t="s">
        <v>53</v>
      </c>
      <c r="E87">
        <v>6021</v>
      </c>
      <c r="F87" s="3">
        <v>56021517000</v>
      </c>
      <c r="G87" s="3">
        <v>45168065000</v>
      </c>
      <c r="H87" s="3">
        <v>25080826000</v>
      </c>
      <c r="I87" s="3">
        <v>2081391000</v>
      </c>
      <c r="K87" s="3">
        <v>3.7153420890048368E-2</v>
      </c>
      <c r="L87" s="3">
        <v>8.2987338614764927E-2</v>
      </c>
      <c r="M87" s="3">
        <v>2.2336392350076508</v>
      </c>
      <c r="N87" t="s">
        <v>18</v>
      </c>
      <c r="O87" t="s">
        <v>18</v>
      </c>
      <c r="P87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D9C3-96F5-48C2-897C-D2837647B647}">
  <dimension ref="A1:I17"/>
  <sheetViews>
    <sheetView workbookViewId="0">
      <selection activeCell="D23" sqref="D23"/>
    </sheetView>
  </sheetViews>
  <sheetFormatPr defaultRowHeight="14.4" x14ac:dyDescent="0.3"/>
  <cols>
    <col min="1" max="1" width="12.5546875" bestFit="1" customWidth="1"/>
    <col min="2" max="2" width="21.44140625" bestFit="1" customWidth="1"/>
    <col min="3" max="3" width="20.5546875" bestFit="1" customWidth="1"/>
    <col min="4" max="4" width="14.33203125" bestFit="1" customWidth="1"/>
    <col min="5" max="5" width="16.109375" customWidth="1"/>
    <col min="6" max="6" width="22.77734375" bestFit="1" customWidth="1"/>
    <col min="7" max="7" width="7" bestFit="1" customWidth="1"/>
    <col min="8" max="8" width="13.5546875" customWidth="1"/>
    <col min="9" max="9" width="32.33203125" customWidth="1"/>
    <col min="10" max="10" width="8" bestFit="1" customWidth="1"/>
    <col min="11" max="18" width="9" bestFit="1" customWidth="1"/>
    <col min="19" max="24" width="10" bestFit="1" customWidth="1"/>
    <col min="25" max="54" width="11" bestFit="1" customWidth="1"/>
    <col min="55" max="86" width="12" bestFit="1" customWidth="1"/>
    <col min="87" max="87" width="10.77734375" bestFit="1" customWidth="1"/>
  </cols>
  <sheetData>
    <row r="1" spans="1:9" ht="15.6" x14ac:dyDescent="0.3">
      <c r="A1" s="8" t="s">
        <v>62</v>
      </c>
      <c r="B1" s="8"/>
      <c r="C1" s="8"/>
      <c r="D1" s="8"/>
      <c r="E1" s="8"/>
      <c r="F1" s="8"/>
      <c r="G1" s="4"/>
    </row>
    <row r="2" spans="1:9" ht="15.6" x14ac:dyDescent="0.3">
      <c r="A2" s="9" t="s">
        <v>63</v>
      </c>
      <c r="B2" s="8"/>
      <c r="C2" s="8"/>
      <c r="D2" s="8"/>
      <c r="E2" s="8"/>
      <c r="F2" s="8"/>
      <c r="G2" s="4"/>
      <c r="H2" s="8" t="s">
        <v>79</v>
      </c>
      <c r="I2" s="7"/>
    </row>
    <row r="3" spans="1:9" x14ac:dyDescent="0.3">
      <c r="A3" s="1" t="s">
        <v>64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H3" t="s">
        <v>71</v>
      </c>
      <c r="I3" t="s">
        <v>73</v>
      </c>
    </row>
    <row r="4" spans="1:9" x14ac:dyDescent="0.3">
      <c r="A4" s="2">
        <v>2019</v>
      </c>
      <c r="B4" s="3">
        <v>7251531000</v>
      </c>
      <c r="C4" s="3">
        <v>392079000</v>
      </c>
      <c r="D4" s="3">
        <v>5.4068444305071579E-2</v>
      </c>
      <c r="E4" s="3">
        <v>0.1364154935384442</v>
      </c>
      <c r="F4" s="3">
        <v>2.5230149543187159</v>
      </c>
      <c r="H4" t="s">
        <v>72</v>
      </c>
      <c r="I4" t="s">
        <v>72</v>
      </c>
    </row>
    <row r="5" spans="1:9" x14ac:dyDescent="0.3">
      <c r="A5" s="2">
        <v>2020</v>
      </c>
      <c r="B5" s="3">
        <v>262688643802</v>
      </c>
      <c r="C5" s="3">
        <v>7238449520</v>
      </c>
      <c r="D5" s="3">
        <v>2.7181071325240346E-2</v>
      </c>
      <c r="E5" s="3">
        <v>0.12847800610135948</v>
      </c>
      <c r="F5" s="3">
        <v>5.0720588949441145</v>
      </c>
      <c r="H5" s="14">
        <f>(B5-B4)/B4</f>
        <v>35.225266609492536</v>
      </c>
      <c r="I5" s="13">
        <f>(C5-C4)/C4</f>
        <v>17.461711848887596</v>
      </c>
    </row>
    <row r="6" spans="1:9" x14ac:dyDescent="0.3">
      <c r="A6" s="2">
        <v>2021</v>
      </c>
      <c r="B6" s="3">
        <v>290941299981</v>
      </c>
      <c r="C6" s="3">
        <v>5493321668</v>
      </c>
      <c r="D6" s="3">
        <v>-1.9159735044035016E-2</v>
      </c>
      <c r="E6" s="3">
        <v>5.5373926725168852E-2</v>
      </c>
      <c r="F6" s="3">
        <v>3.5121250574315575</v>
      </c>
      <c r="H6" s="13">
        <f t="shared" ref="H6:H9" si="0">(B6-B5)/B5</f>
        <v>0.1075518749881524</v>
      </c>
      <c r="I6" s="13">
        <f t="shared" ref="I6:I9" si="1">(C6-C5)/C5</f>
        <v>-0.24109138941677666</v>
      </c>
    </row>
    <row r="7" spans="1:9" x14ac:dyDescent="0.3">
      <c r="A7" s="2">
        <v>2022</v>
      </c>
      <c r="B7" s="3">
        <v>262600591180</v>
      </c>
      <c r="C7" s="3">
        <v>7009397996</v>
      </c>
      <c r="D7" s="3">
        <v>-0.37223251807873481</v>
      </c>
      <c r="E7" s="3">
        <v>-6.5756682323996971</v>
      </c>
      <c r="F7" s="3">
        <v>5.1589689878020515</v>
      </c>
      <c r="H7" s="13">
        <f t="shared" si="0"/>
        <v>-9.7410401351924927E-2</v>
      </c>
      <c r="I7" s="13">
        <f t="shared" si="1"/>
        <v>0.27598535451355988</v>
      </c>
    </row>
    <row r="8" spans="1:9" x14ac:dyDescent="0.3">
      <c r="A8" s="2">
        <v>2023</v>
      </c>
      <c r="B8" s="3">
        <v>354740791086</v>
      </c>
      <c r="C8" s="3">
        <v>7950919414</v>
      </c>
      <c r="D8" s="3">
        <v>-0.56934005720357872</v>
      </c>
      <c r="E8" s="3">
        <v>-0.56135106540834745</v>
      </c>
      <c r="F8" s="3">
        <v>4.0094554559725957</v>
      </c>
      <c r="H8" s="13">
        <f t="shared" si="0"/>
        <v>0.35087582816156859</v>
      </c>
      <c r="I8" s="13">
        <f t="shared" si="1"/>
        <v>0.13432272194235381</v>
      </c>
    </row>
    <row r="9" spans="1:9" x14ac:dyDescent="0.3">
      <c r="A9" s="2">
        <v>2024</v>
      </c>
      <c r="B9" s="3">
        <v>314804513899</v>
      </c>
      <c r="C9" s="3">
        <v>5658116306</v>
      </c>
      <c r="D9" s="3">
        <v>-32.308093620139658</v>
      </c>
      <c r="E9" s="3">
        <v>-0.30952340242669724</v>
      </c>
      <c r="F9" s="3">
        <v>3.8048772299271798</v>
      </c>
      <c r="H9" s="13">
        <f t="shared" si="0"/>
        <v>-0.11257875663167878</v>
      </c>
      <c r="I9" s="13">
        <f t="shared" si="1"/>
        <v>-0.2883695568543716</v>
      </c>
    </row>
    <row r="10" spans="1:9" x14ac:dyDescent="0.3">
      <c r="A10" s="2" t="s">
        <v>65</v>
      </c>
      <c r="B10" s="3">
        <v>1493027370948</v>
      </c>
      <c r="C10" s="3">
        <v>33742283904</v>
      </c>
      <c r="D10" s="3">
        <v>-7.0932355521611568</v>
      </c>
      <c r="E10" s="3">
        <v>-1.2919282021362537</v>
      </c>
      <c r="F10" s="3">
        <v>4.1930103875222642</v>
      </c>
    </row>
    <row r="13" spans="1:9" ht="23.4" x14ac:dyDescent="0.3">
      <c r="A13" s="15" t="s">
        <v>78</v>
      </c>
      <c r="B13" s="7"/>
      <c r="C13" s="7"/>
      <c r="D13" s="7"/>
    </row>
    <row r="14" spans="1:9" x14ac:dyDescent="0.3">
      <c r="A14" t="s">
        <v>74</v>
      </c>
    </row>
    <row r="15" spans="1:9" x14ac:dyDescent="0.3">
      <c r="A15" t="s">
        <v>75</v>
      </c>
    </row>
    <row r="16" spans="1:9" x14ac:dyDescent="0.3">
      <c r="A16" t="s">
        <v>76</v>
      </c>
    </row>
    <row r="17" spans="1:1" x14ac:dyDescent="0.3">
      <c r="A17" t="s">
        <v>77</v>
      </c>
    </row>
  </sheetData>
  <conditionalFormatting sqref="H5:H9">
    <cfRule type="cellIs" dxfId="6" priority="4" operator="greaterThan">
      <formula>0</formula>
    </cfRule>
    <cfRule type="cellIs" dxfId="5" priority="3" operator="lessThan">
      <formula>0</formula>
    </cfRule>
  </conditionalFormatting>
  <conditionalFormatting sqref="I5:I9">
    <cfRule type="cellIs" dxfId="4" priority="2" operator="greaterThan">
      <formula>0</formula>
    </cfRule>
    <cfRule type="cellIs" dxfId="3" priority="1" operator="lessThan">
      <formula>0</formula>
    </cfRule>
  </conditionalFormatting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Raw_Data_SEC_Banking</vt:lpstr>
      <vt:lpstr>Banking_Yearly_Summary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</cp:lastModifiedBy>
  <cp:lastPrinted>2026-02-02T14:19:50Z</cp:lastPrinted>
  <dcterms:created xsi:type="dcterms:W3CDTF">2026-01-30T23:29:59Z</dcterms:created>
  <dcterms:modified xsi:type="dcterms:W3CDTF">2026-02-02T17:36:55Z</dcterms:modified>
</cp:coreProperties>
</file>